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00" tabRatio="500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<sst xmlns="http://schemas.openxmlformats.org/spreadsheetml/2006/main" count="20" uniqueCount="20">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</sst>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"/>
  </numFmts>
  <fonts count="27">
    <font>
      <sz val="11"/>
      <color theme="1"/>
      <name val="Calibri"/>
      <charset val="1"/>
    </font>
    <font>
      <b/>
      <sz val="14"/>
      <name val="Arial"/>
      <charset val="134"/>
    </font>
    <font>
      <i/>
      <sz val="10"/>
      <name val="Arial"/>
      <charset val="134"/>
    </font>
    <font>
      <b/>
      <sz val="11"/>
      <name val="Arial"/>
      <charset val="134"/>
    </font>
    <font>
      <sz val="11"/>
      <color rgb="FF000000"/>
      <name val="Arial"/>
      <charset val="134"/>
    </font>
    <font>
      <sz val="11"/>
      <color rgb="FF0000FF"/>
      <name val="Arial"/>
      <charset val="134"/>
    </font>
    <font>
      <i/>
      <sz val="9"/>
      <color rgb="FF66666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76" fontId="4" fillId="0" borderId="1" xfId="0" applyNumberFormat="1" applyFont="1" applyBorder="1"/>
    <xf numFmtId="177" fontId="4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BE4B48"/>
      <rgbColor rgb="00FFFF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7EBB"/>
      <rgbColor rgb="0033CCCC"/>
      <rgbColor rgb="0098B855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Voltage Across R, L, and C vs. Time</a:t>
            </a:r>
            <a:endParaRPr lang="en-US"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0</c:v>
                </c:pt>
                <c:pt idx="1" c:formatCode="0.000000">
                  <c:v>0.000405577867597361</c:v>
                </c:pt>
                <c:pt idx="2" c:formatCode="0.000000">
                  <c:v>0.000811155735194723</c:v>
                </c:pt>
                <c:pt idx="3" c:formatCode="0.000000">
                  <c:v>0.00121673360279208</c:v>
                </c:pt>
                <c:pt idx="4" c:formatCode="0.000000">
                  <c:v>0.00162231147038945</c:v>
                </c:pt>
                <c:pt idx="5" c:formatCode="0.000000">
                  <c:v>0.00202788933798681</c:v>
                </c:pt>
                <c:pt idx="6" c:formatCode="0.000000">
                  <c:v>0.00243346720558417</c:v>
                </c:pt>
                <c:pt idx="7" c:formatCode="0.000000">
                  <c:v>0.00283904507318153</c:v>
                </c:pt>
                <c:pt idx="8" c:formatCode="0.000000">
                  <c:v>0.00324462294077889</c:v>
                </c:pt>
                <c:pt idx="9" c:formatCode="0.000000">
                  <c:v>0.00365020080837625</c:v>
                </c:pt>
                <c:pt idx="10" c:formatCode="0.000000">
                  <c:v>0.00405577867597361</c:v>
                </c:pt>
                <c:pt idx="11" c:formatCode="0.000000">
                  <c:v>0.00446135654357097</c:v>
                </c:pt>
                <c:pt idx="12" c:formatCode="0.000000">
                  <c:v>0.00486693441116834</c:v>
                </c:pt>
                <c:pt idx="13" c:formatCode="0.000000">
                  <c:v>0.0052725122787657</c:v>
                </c:pt>
                <c:pt idx="14" c:formatCode="0.000000">
                  <c:v>0.00567809014636306</c:v>
                </c:pt>
                <c:pt idx="15" c:formatCode="0.000000">
                  <c:v>0.00608366801396042</c:v>
                </c:pt>
                <c:pt idx="16" c:formatCode="0.000000">
                  <c:v>0.00648924588155778</c:v>
                </c:pt>
                <c:pt idx="17" c:formatCode="0.000000">
                  <c:v>0.00689482374915514</c:v>
                </c:pt>
                <c:pt idx="18" c:formatCode="0.000000">
                  <c:v>0.0073004016167525</c:v>
                </c:pt>
                <c:pt idx="19" c:formatCode="0.000000">
                  <c:v>0.00770597948434986</c:v>
                </c:pt>
                <c:pt idx="20" c:formatCode="0.000000">
                  <c:v>0.00811155735194722</c:v>
                </c:pt>
                <c:pt idx="21" c:formatCode="0.000000">
                  <c:v>0.00851713521954458</c:v>
                </c:pt>
                <c:pt idx="22" c:formatCode="0.000000">
                  <c:v>0.00892271308714195</c:v>
                </c:pt>
                <c:pt idx="23" c:formatCode="0.000000">
                  <c:v>0.00932829095473931</c:v>
                </c:pt>
                <c:pt idx="24" c:formatCode="0.000000">
                  <c:v>0.00973386882233667</c:v>
                </c:pt>
                <c:pt idx="25" c:formatCode="0.000000">
                  <c:v>0.010139446689934</c:v>
                </c:pt>
                <c:pt idx="26" c:formatCode="0.000000">
                  <c:v>0.0105450245575314</c:v>
                </c:pt>
                <c:pt idx="27" c:formatCode="0.000000">
                  <c:v>0.0109506024251288</c:v>
                </c:pt>
                <c:pt idx="28" c:formatCode="0.000000">
                  <c:v>0.0113561802927261</c:v>
                </c:pt>
                <c:pt idx="29" c:formatCode="0.000000">
                  <c:v>0.0117617581603235</c:v>
                </c:pt>
                <c:pt idx="30" c:formatCode="0.000000">
                  <c:v>0.0121673360279208</c:v>
                </c:pt>
                <c:pt idx="31" c:formatCode="0.000000">
                  <c:v>0.0125729138955182</c:v>
                </c:pt>
                <c:pt idx="32" c:formatCode="0.000000">
                  <c:v>0.0129784917631156</c:v>
                </c:pt>
                <c:pt idx="33" c:formatCode="0.000000">
                  <c:v>0.0133840696307129</c:v>
                </c:pt>
                <c:pt idx="34" c:formatCode="0.000000">
                  <c:v>0.0137896474983103</c:v>
                </c:pt>
                <c:pt idx="35" c:formatCode="0.000000">
                  <c:v>0.0141952253659076</c:v>
                </c:pt>
                <c:pt idx="36" c:formatCode="0.000000">
                  <c:v>0.014600803233505</c:v>
                </c:pt>
                <c:pt idx="37" c:formatCode="0.000000">
                  <c:v>0.0150063811011024</c:v>
                </c:pt>
                <c:pt idx="38" c:formatCode="0.000000">
                  <c:v>0.0154119589686997</c:v>
                </c:pt>
                <c:pt idx="39" c:formatCode="0.000000">
                  <c:v>0.0158175368362971</c:v>
                </c:pt>
                <c:pt idx="40" c:formatCode="0.000000">
                  <c:v>0.0162231147038944</c:v>
                </c:pt>
                <c:pt idx="41" c:formatCode="0.000000">
                  <c:v>0.0166286925714918</c:v>
                </c:pt>
                <c:pt idx="42" c:formatCode="0.000000">
                  <c:v>0.0170342704390892</c:v>
                </c:pt>
                <c:pt idx="43" c:formatCode="0.000000">
                  <c:v>0.0174398483066865</c:v>
                </c:pt>
                <c:pt idx="44" c:formatCode="0.000000">
                  <c:v>0.0178454261742839</c:v>
                </c:pt>
                <c:pt idx="45" c:formatCode="0.000000">
                  <c:v>0.0182510040418813</c:v>
                </c:pt>
                <c:pt idx="46" c:formatCode="0.000000">
                  <c:v>0.0186565819094786</c:v>
                </c:pt>
                <c:pt idx="47" c:formatCode="0.000000">
                  <c:v>0.019062159777076</c:v>
                </c:pt>
                <c:pt idx="48" c:formatCode="0.000000">
                  <c:v>0.0194677376446733</c:v>
                </c:pt>
                <c:pt idx="49" c:formatCode="0.000000">
                  <c:v>0.0198733155122707</c:v>
                </c:pt>
                <c:pt idx="50" c:formatCode="0.000000">
                  <c:v>0.0202788933798681</c:v>
                </c:pt>
                <c:pt idx="51" c:formatCode="0.000000">
                  <c:v>0.0206844712474654</c:v>
                </c:pt>
                <c:pt idx="52" c:formatCode="0.000000">
                  <c:v>0.0210900491150628</c:v>
                </c:pt>
                <c:pt idx="53" c:formatCode="0.000000">
                  <c:v>0.0214956269826602</c:v>
                </c:pt>
                <c:pt idx="54" c:formatCode="0.000000">
                  <c:v>0.0219012048502575</c:v>
                </c:pt>
                <c:pt idx="55" c:formatCode="0.000000">
                  <c:v>0.0223067827178549</c:v>
                </c:pt>
                <c:pt idx="56" c:formatCode="0.000000">
                  <c:v>0.0227123605854523</c:v>
                </c:pt>
                <c:pt idx="57" c:formatCode="0.000000">
                  <c:v>0.0231179384530496</c:v>
                </c:pt>
                <c:pt idx="58" c:formatCode="0.000000">
                  <c:v>0.023523516320647</c:v>
                </c:pt>
                <c:pt idx="59" c:formatCode="0.000000">
                  <c:v>0.0239290941882443</c:v>
                </c:pt>
                <c:pt idx="60" c:formatCode="0.000000">
                  <c:v>0.0243346720558417</c:v>
                </c:pt>
                <c:pt idx="61" c:formatCode="0.000000">
                  <c:v>0.0247402499234391</c:v>
                </c:pt>
                <c:pt idx="62" c:formatCode="0.000000">
                  <c:v>0.0251458277910364</c:v>
                </c:pt>
                <c:pt idx="63" c:formatCode="0.000000">
                  <c:v>0.0255514056586338</c:v>
                </c:pt>
                <c:pt idx="64" c:formatCode="0.000000">
                  <c:v>0.0259569835262312</c:v>
                </c:pt>
                <c:pt idx="65" c:formatCode="0.000000">
                  <c:v>0.0263625613938285</c:v>
                </c:pt>
                <c:pt idx="66" c:formatCode="0.000000">
                  <c:v>0.0267681392614259</c:v>
                </c:pt>
                <c:pt idx="67" c:formatCode="0.000000">
                  <c:v>0.0271737171290232</c:v>
                </c:pt>
                <c:pt idx="68" c:formatCode="0.000000">
                  <c:v>0.0275792949966206</c:v>
                </c:pt>
                <c:pt idx="69" c:formatCode="0.000000">
                  <c:v>0.027984872864218</c:v>
                </c:pt>
                <c:pt idx="70" c:formatCode="0.000000">
                  <c:v>0.0283904507318153</c:v>
                </c:pt>
                <c:pt idx="71" c:formatCode="0.000000">
                  <c:v>0.0287960285994127</c:v>
                </c:pt>
                <c:pt idx="72" c:formatCode="0.000000">
                  <c:v>0.0292016064670101</c:v>
                </c:pt>
                <c:pt idx="73" c:formatCode="0.000000">
                  <c:v>0.0296071843346074</c:v>
                </c:pt>
                <c:pt idx="74" c:formatCode="0.000000">
                  <c:v>0.0300127622022048</c:v>
                </c:pt>
                <c:pt idx="75" c:formatCode="0.000000">
                  <c:v>0.0304183400698021</c:v>
                </c:pt>
                <c:pt idx="76" c:formatCode="0.000000">
                  <c:v>0.0308239179373995</c:v>
                </c:pt>
                <c:pt idx="77" c:formatCode="0.000000">
                  <c:v>0.0312294958049969</c:v>
                </c:pt>
                <c:pt idx="78" c:formatCode="0.000000">
                  <c:v>0.0316350736725942</c:v>
                </c:pt>
                <c:pt idx="79" c:formatCode="0.000000">
                  <c:v>0.0320406515401916</c:v>
                </c:pt>
                <c:pt idx="80" c:formatCode="0.000000">
                  <c:v>0.0324462294077889</c:v>
                </c:pt>
                <c:pt idx="81" c:formatCode="0.000000">
                  <c:v>0.0328518072753863</c:v>
                </c:pt>
                <c:pt idx="82" c:formatCode="0.000000">
                  <c:v>0.0332573851429837</c:v>
                </c:pt>
                <c:pt idx="83" c:formatCode="0.000000">
                  <c:v>0.033662963010581</c:v>
                </c:pt>
                <c:pt idx="84" c:formatCode="0.000000">
                  <c:v>0.0340685408781784</c:v>
                </c:pt>
                <c:pt idx="85" c:formatCode="0.000000">
                  <c:v>0.0344741187457757</c:v>
                </c:pt>
                <c:pt idx="86" c:formatCode="0.000000">
                  <c:v>0.0348796966133731</c:v>
                </c:pt>
                <c:pt idx="87" c:formatCode="0.000000">
                  <c:v>0.0352852744809705</c:v>
                </c:pt>
                <c:pt idx="88" c:formatCode="0.000000">
                  <c:v>0.0356908523485678</c:v>
                </c:pt>
                <c:pt idx="89" c:formatCode="0.000000">
                  <c:v>0.0360964302161652</c:v>
                </c:pt>
                <c:pt idx="90" c:formatCode="0.000000">
                  <c:v>0.0365020080837625</c:v>
                </c:pt>
                <c:pt idx="91" c:formatCode="0.000000">
                  <c:v>0.0369075859513599</c:v>
                </c:pt>
                <c:pt idx="92" c:formatCode="0.000000">
                  <c:v>0.0373131638189573</c:v>
                </c:pt>
                <c:pt idx="93" c:formatCode="0.000000">
                  <c:v>0.0377187416865546</c:v>
                </c:pt>
                <c:pt idx="94" c:formatCode="0.000000">
                  <c:v>0.038124319554152</c:v>
                </c:pt>
                <c:pt idx="95" c:formatCode="0.000000">
                  <c:v>0.0385298974217493</c:v>
                </c:pt>
                <c:pt idx="96" c:formatCode="0.000000">
                  <c:v>0.0389354752893467</c:v>
                </c:pt>
                <c:pt idx="97" c:formatCode="0.000000">
                  <c:v>0.0393410531569441</c:v>
                </c:pt>
                <c:pt idx="98" c:formatCode="0.000000">
                  <c:v>0.0397466310245414</c:v>
                </c:pt>
                <c:pt idx="99" c:formatCode="0.000000">
                  <c:v>0.0401522088921388</c:v>
                </c:pt>
                <c:pt idx="100" c:formatCode="0.000000">
                  <c:v>0.0405577867597361</c:v>
                </c:pt>
                <c:pt idx="101" c:formatCode="0.000000">
                  <c:v>0.0409633646273335</c:v>
                </c:pt>
                <c:pt idx="102" c:formatCode="0.000000">
                  <c:v>0.0413689424949309</c:v>
                </c:pt>
                <c:pt idx="103" c:formatCode="0.000000">
                  <c:v>0.0417745203625282</c:v>
                </c:pt>
                <c:pt idx="104" c:formatCode="0.000000">
                  <c:v>0.0421800982301256</c:v>
                </c:pt>
                <c:pt idx="105" c:formatCode="0.000000">
                  <c:v>0.0425856760977229</c:v>
                </c:pt>
                <c:pt idx="106" c:formatCode="0.000000">
                  <c:v>0.0429912539653203</c:v>
                </c:pt>
                <c:pt idx="107" c:formatCode="0.000000">
                  <c:v>0.0433968318329176</c:v>
                </c:pt>
                <c:pt idx="108" c:formatCode="0.000000">
                  <c:v>0.043802409700515</c:v>
                </c:pt>
                <c:pt idx="109" c:formatCode="0.000000">
                  <c:v>0.0442079875681124</c:v>
                </c:pt>
                <c:pt idx="110" c:formatCode="0.000000">
                  <c:v>0.0446135654357097</c:v>
                </c:pt>
                <c:pt idx="111" c:formatCode="0.000000">
                  <c:v>0.0450191433033071</c:v>
                </c:pt>
                <c:pt idx="112" c:formatCode="0.000000">
                  <c:v>0.0454247211709044</c:v>
                </c:pt>
                <c:pt idx="113" c:formatCode="0.000000">
                  <c:v>0.0458302990385018</c:v>
                </c:pt>
                <c:pt idx="114" c:formatCode="0.000000">
                  <c:v>0.0462358769060992</c:v>
                </c:pt>
                <c:pt idx="115" c:formatCode="0.000000">
                  <c:v>0.0466414547736965</c:v>
                </c:pt>
                <c:pt idx="116" c:formatCode="0.000000">
                  <c:v>0.0470470326412939</c:v>
                </c:pt>
                <c:pt idx="117" c:formatCode="0.000000">
                  <c:v>0.0474526105088912</c:v>
                </c:pt>
                <c:pt idx="118" c:formatCode="0.000000">
                  <c:v>0.0478581883764886</c:v>
                </c:pt>
                <c:pt idx="119" c:formatCode="0.000000">
                  <c:v>0.048263766244086</c:v>
                </c:pt>
                <c:pt idx="120" c:formatCode="0.000000">
                  <c:v>0.0486693441116833</c:v>
                </c:pt>
                <c:pt idx="121" c:formatCode="0.000000">
                  <c:v>0.0490749219792807</c:v>
                </c:pt>
                <c:pt idx="122" c:formatCode="0.000000">
                  <c:v>0.049480499846878</c:v>
                </c:pt>
                <c:pt idx="123" c:formatCode="0.000000">
                  <c:v>0.0498860777144754</c:v>
                </c:pt>
                <c:pt idx="124" c:formatCode="0.000000">
                  <c:v>0.0502916555820728</c:v>
                </c:pt>
                <c:pt idx="125" c:formatCode="0.000000">
                  <c:v>0.0506972334496701</c:v>
                </c:pt>
                <c:pt idx="126" c:formatCode="0.000000">
                  <c:v>0.0511028113172675</c:v>
                </c:pt>
                <c:pt idx="127" c:formatCode="0.000000">
                  <c:v>0.0515083891848648</c:v>
                </c:pt>
                <c:pt idx="128" c:formatCode="0.000000">
                  <c:v>0.0519139670524622</c:v>
                </c:pt>
                <c:pt idx="129" c:formatCode="0.000000">
                  <c:v>0.0523195449200596</c:v>
                </c:pt>
                <c:pt idx="130" c:formatCode="0.000000">
                  <c:v>0.0527251227876569</c:v>
                </c:pt>
                <c:pt idx="131" c:formatCode="0.000000">
                  <c:v>0.0531307006552543</c:v>
                </c:pt>
                <c:pt idx="132" c:formatCode="0.000000">
                  <c:v>0.0535362785228516</c:v>
                </c:pt>
                <c:pt idx="133" c:formatCode="0.000000">
                  <c:v>0.053941856390449</c:v>
                </c:pt>
                <c:pt idx="134" c:formatCode="0.000000">
                  <c:v>0.0543474342580463</c:v>
                </c:pt>
                <c:pt idx="135" c:formatCode="0.000000">
                  <c:v>0.0547530121256437</c:v>
                </c:pt>
                <c:pt idx="136" c:formatCode="0.000000">
                  <c:v>0.0551585899932411</c:v>
                </c:pt>
                <c:pt idx="137" c:formatCode="0.000000">
                  <c:v>0.0555641678608384</c:v>
                </c:pt>
                <c:pt idx="138" c:formatCode="0.000000">
                  <c:v>0.0559697457284358</c:v>
                </c:pt>
                <c:pt idx="139" c:formatCode="0.000000">
                  <c:v>0.0563753235960331</c:v>
                </c:pt>
                <c:pt idx="140" c:formatCode="0.000000">
                  <c:v>0.0567809014636305</c:v>
                </c:pt>
                <c:pt idx="141" c:formatCode="0.000000">
                  <c:v>0.0571864793312279</c:v>
                </c:pt>
                <c:pt idx="142" c:formatCode="0.000000">
                  <c:v>0.0575920571988252</c:v>
                </c:pt>
                <c:pt idx="143" c:formatCode="0.000000">
                  <c:v>0.0579976350664226</c:v>
                </c:pt>
                <c:pt idx="144" c:formatCode="0.000000">
                  <c:v>0.0584032129340199</c:v>
                </c:pt>
                <c:pt idx="145" c:formatCode="0.000000">
                  <c:v>0.0588087908016173</c:v>
                </c:pt>
                <c:pt idx="146" c:formatCode="0.000000">
                  <c:v>0.0592143686692147</c:v>
                </c:pt>
                <c:pt idx="147" c:formatCode="0.000000">
                  <c:v>0.059619946536812</c:v>
                </c:pt>
                <c:pt idx="148" c:formatCode="0.000000">
                  <c:v>0.0600255244044094</c:v>
                </c:pt>
                <c:pt idx="149" c:formatCode="0.000000">
                  <c:v>0.0604311022720067</c:v>
                </c:pt>
                <c:pt idx="150" c:formatCode="0.000000">
                  <c:v>0.0608366801396041</c:v>
                </c:pt>
                <c:pt idx="151" c:formatCode="0.000000">
                  <c:v>0.0612422580072015</c:v>
                </c:pt>
                <c:pt idx="152" c:formatCode="0.000000">
                  <c:v>0.0616478358747988</c:v>
                </c:pt>
                <c:pt idx="153" c:formatCode="0.000000">
                  <c:v>0.0620534137423962</c:v>
                </c:pt>
                <c:pt idx="154" c:formatCode="0.000000">
                  <c:v>0.0624589916099935</c:v>
                </c:pt>
                <c:pt idx="155" c:formatCode="0.000000">
                  <c:v>0.0628645694775909</c:v>
                </c:pt>
                <c:pt idx="156" c:formatCode="0.000000">
                  <c:v>0.0632701473451883</c:v>
                </c:pt>
                <c:pt idx="157" c:formatCode="0.000000">
                  <c:v>0.0636757252127856</c:v>
                </c:pt>
                <c:pt idx="158" c:formatCode="0.000000">
                  <c:v>0.064081303080383</c:v>
                </c:pt>
                <c:pt idx="159" c:formatCode="0.000000">
                  <c:v>0.0644868809479803</c:v>
                </c:pt>
                <c:pt idx="160" c:formatCode="0.000000">
                  <c:v>0.0648924588155777</c:v>
                </c:pt>
                <c:pt idx="161" c:formatCode="0.000000">
                  <c:v>0.065298036683175</c:v>
                </c:pt>
                <c:pt idx="162" c:formatCode="0.000000">
                  <c:v>0.0657036145507724</c:v>
                </c:pt>
                <c:pt idx="163" c:formatCode="0.000000">
                  <c:v>0.0661091924183698</c:v>
                </c:pt>
                <c:pt idx="164" c:formatCode="0.000000">
                  <c:v>0.0665147702859671</c:v>
                </c:pt>
                <c:pt idx="165" c:formatCode="0.000000">
                  <c:v>0.0669203481535645</c:v>
                </c:pt>
                <c:pt idx="166" c:formatCode="0.000000">
                  <c:v>0.0673259260211618</c:v>
                </c:pt>
                <c:pt idx="167" c:formatCode="0.000000">
                  <c:v>0.0677315038887592</c:v>
                </c:pt>
                <c:pt idx="168" c:formatCode="0.000000">
                  <c:v>0.0681370817563566</c:v>
                </c:pt>
                <c:pt idx="169" c:formatCode="0.000000">
                  <c:v>0.0685426596239539</c:v>
                </c:pt>
                <c:pt idx="170" c:formatCode="0.000000">
                  <c:v>0.0689482374915513</c:v>
                </c:pt>
                <c:pt idx="171" c:formatCode="0.000000">
                  <c:v>0.0693538153591486</c:v>
                </c:pt>
                <c:pt idx="172" c:formatCode="0.000000">
                  <c:v>0.069759393226746</c:v>
                </c:pt>
                <c:pt idx="173" c:formatCode="0.000000">
                  <c:v>0.0701649710943434</c:v>
                </c:pt>
                <c:pt idx="174" c:formatCode="0.000000">
                  <c:v>0.0705705489619407</c:v>
                </c:pt>
                <c:pt idx="175" c:formatCode="0.000000">
                  <c:v>0.0709761268295381</c:v>
                </c:pt>
                <c:pt idx="176" c:formatCode="0.000000">
                  <c:v>0.0713817046971354</c:v>
                </c:pt>
                <c:pt idx="177" c:formatCode="0.000000">
                  <c:v>0.0717872825647328</c:v>
                </c:pt>
                <c:pt idx="178" c:formatCode="0.000000">
                  <c:v>0.0721928604323302</c:v>
                </c:pt>
                <c:pt idx="179" c:formatCode="0.000000">
                  <c:v>0.0725984382999275</c:v>
                </c:pt>
                <c:pt idx="180" c:formatCode="0.000000">
                  <c:v>0.0730040161675249</c:v>
                </c:pt>
                <c:pt idx="181" c:formatCode="0.000000">
                  <c:v>0.0734095940351222</c:v>
                </c:pt>
                <c:pt idx="182" c:formatCode="0.000000">
                  <c:v>0.0738151719027196</c:v>
                </c:pt>
                <c:pt idx="183" c:formatCode="0.000000">
                  <c:v>0.074220749770317</c:v>
                </c:pt>
                <c:pt idx="184" c:formatCode="0.000000">
                  <c:v>0.0746263276379143</c:v>
                </c:pt>
                <c:pt idx="185" c:formatCode="0.000000">
                  <c:v>0.0750319055055117</c:v>
                </c:pt>
                <c:pt idx="186" c:formatCode="0.000000">
                  <c:v>0.075437483373109</c:v>
                </c:pt>
                <c:pt idx="187" c:formatCode="0.000000">
                  <c:v>0.0758430612407064</c:v>
                </c:pt>
                <c:pt idx="188" c:formatCode="0.000000">
                  <c:v>0.0762486391083037</c:v>
                </c:pt>
                <c:pt idx="189" c:formatCode="0.000000">
                  <c:v>0.0766542169759011</c:v>
                </c:pt>
                <c:pt idx="190" c:formatCode="0.000000">
                  <c:v>0.0770597948434985</c:v>
                </c:pt>
                <c:pt idx="191" c:formatCode="0.000000">
                  <c:v>0.0774653727110958</c:v>
                </c:pt>
                <c:pt idx="192" c:formatCode="0.000000">
                  <c:v>0.0778709505786932</c:v>
                </c:pt>
                <c:pt idx="193" c:formatCode="0.000000">
                  <c:v>0.0782765284462905</c:v>
                </c:pt>
                <c:pt idx="194" c:formatCode="0.000000">
                  <c:v>0.0786821063138879</c:v>
                </c:pt>
                <c:pt idx="195" c:formatCode="0.000000">
                  <c:v>0.0790876841814853</c:v>
                </c:pt>
                <c:pt idx="196" c:formatCode="0.000000">
                  <c:v>0.0794932620490826</c:v>
                </c:pt>
                <c:pt idx="197" c:formatCode="0.000000">
                  <c:v>0.07989883991668</c:v>
                </c:pt>
                <c:pt idx="198" c:formatCode="0.000000">
                  <c:v>0.0803044177842773</c:v>
                </c:pt>
                <c:pt idx="199" c:formatCode="0.000000">
                  <c:v>0.0807099956518747</c:v>
                </c:pt>
                <c:pt idx="200" c:formatCode="0.000000">
                  <c:v>0.0811155735194721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1.83046998266207</c:v>
                </c:pt>
                <c:pt idx="2">
                  <c:v>3.29774216274521</c:v>
                </c:pt>
                <c:pt idx="3">
                  <c:v>4.44666540335934</c:v>
                </c:pt>
                <c:pt idx="4">
                  <c:v>5.31858990208039</c:v>
                </c:pt>
                <c:pt idx="5">
                  <c:v>5.9513945604984</c:v>
                </c:pt>
                <c:pt idx="6">
                  <c:v>6.37956094249181</c:v>
                </c:pt>
                <c:pt idx="7">
                  <c:v>6.63428417025648</c:v>
                </c:pt>
                <c:pt idx="8">
                  <c:v>6.74361232934549</c:v>
                </c:pt>
                <c:pt idx="9">
                  <c:v>6.73260707718553</c:v>
                </c:pt>
                <c:pt idx="10">
                  <c:v>6.62351917520221</c:v>
                </c:pt>
                <c:pt idx="11">
                  <c:v>6.43597359546354</c:v>
                </c:pt>
                <c:pt idx="12">
                  <c:v>6.18715969221652</c:v>
                </c:pt>
                <c:pt idx="13">
                  <c:v>5.89202268112422</c:v>
                </c:pt>
                <c:pt idx="14">
                  <c:v>5.56345333919833</c:v>
                </c:pt>
                <c:pt idx="15">
                  <c:v>5.21247343149534</c:v>
                </c:pt>
                <c:pt idx="16">
                  <c:v>4.84841489194021</c:v>
                </c:pt>
                <c:pt idx="17">
                  <c:v>4.47909124058369</c:v>
                </c:pt>
                <c:pt idx="18">
                  <c:v>4.11096011360214</c:v>
                </c:pt>
                <c:pt idx="19">
                  <c:v>3.7492761207409</c:v>
                </c:pt>
                <c:pt idx="20">
                  <c:v>3.39823353285768</c:v>
                </c:pt>
                <c:pt idx="21">
                  <c:v>3.06109854471956</c:v>
                </c:pt>
                <c:pt idx="22">
                  <c:v>2.74033105998231</c:v>
                </c:pt>
                <c:pt idx="23">
                  <c:v>2.43769611081</c:v>
                </c:pt>
                <c:pt idx="24">
                  <c:v>2.15436515806666</c:v>
                </c:pt>
                <c:pt idx="25">
                  <c:v>1.89100762333031</c:v>
                </c:pt>
                <c:pt idx="26">
                  <c:v>1.64787308474423</c:v>
                </c:pt>
                <c:pt idx="27">
                  <c:v>1.4248646282378</c:v>
                </c:pt>
                <c:pt idx="28">
                  <c:v>1.22160388693317</c:v>
                </c:pt>
                <c:pt idx="29">
                  <c:v>1.03748832733925</c:v>
                </c:pt>
                <c:pt idx="30">
                  <c:v>0.871741353680454</c:v>
                </c:pt>
                <c:pt idx="31">
                  <c:v>0.723455803619764</c:v>
                </c:pt>
                <c:pt idx="32">
                  <c:v>0.591631401673073</c:v>
                </c:pt>
                <c:pt idx="33">
                  <c:v>0.475206722507306</c:v>
                </c:pt>
                <c:pt idx="34">
                  <c:v>0.373086196589165</c:v>
                </c:pt>
                <c:pt idx="35">
                  <c:v>0.284162666629251</c:v>
                </c:pt>
                <c:pt idx="36">
                  <c:v>0.207335976093878</c:v>
                </c:pt>
                <c:pt idx="37">
                  <c:v>0.141528041716161</c:v>
                </c:pt>
                <c:pt idx="38">
                  <c:v>0.0856948312632288</c:v>
                </c:pt>
                <c:pt idx="39">
                  <c:v>0.0388356365086468</c:v>
                </c:pt>
                <c:pt idx="40">
                  <c:v>2.53414668806176e-16</c:v>
                </c:pt>
                <c:pt idx="41">
                  <c:v>-0.0317073767232652</c:v>
                </c:pt>
                <c:pt idx="42">
                  <c:v>-0.0571234459350662</c:v>
                </c:pt>
                <c:pt idx="43">
                  <c:v>-0.0770250790464095</c:v>
                </c:pt>
                <c:pt idx="44">
                  <c:v>-0.0921285436303991</c:v>
                </c:pt>
                <c:pt idx="45">
                  <c:v>-0.103089977517185</c:v>
                </c:pt>
                <c:pt idx="46">
                  <c:v>-0.110506669898209</c:v>
                </c:pt>
                <c:pt idx="47">
                  <c:v>-0.114918982265744</c:v>
                </c:pt>
                <c:pt idx="48">
                  <c:v>-0.116812763185142</c:v>
                </c:pt>
                <c:pt idx="49">
                  <c:v>-0.116622130353423</c:v>
                </c:pt>
                <c:pt idx="50">
                  <c:v>-0.114732511164418</c:v>
                </c:pt>
                <c:pt idx="51">
                  <c:v>-0.111483849123586</c:v>
                </c:pt>
                <c:pt idx="52">
                  <c:v>-0.107173897996845</c:v>
                </c:pt>
                <c:pt idx="53">
                  <c:v>-0.102061538611376</c:v>
                </c:pt>
                <c:pt idx="54">
                  <c:v>-0.0963700648353305</c:v>
                </c:pt>
                <c:pt idx="55">
                  <c:v>-0.0902903955366014</c:v>
                </c:pt>
                <c:pt idx="56">
                  <c:v>-0.0839841783506694</c:v>
                </c:pt>
                <c:pt idx="57">
                  <c:v>-0.0775867589680565</c:v>
                </c:pt>
                <c:pt idx="58">
                  <c:v>-0.0712099964768252</c:v>
                </c:pt>
                <c:pt idx="59">
                  <c:v>-0.0649449111571807</c:v>
                </c:pt>
                <c:pt idx="60">
                  <c:v>-0.0588641561132024</c:v>
                </c:pt>
                <c:pt idx="61">
                  <c:v>-0.0530243083272567</c:v>
                </c:pt>
                <c:pt idx="62">
                  <c:v>-0.047467978217791</c:v>
                </c:pt>
                <c:pt idx="63">
                  <c:v>-0.0422257396485043</c:v>
                </c:pt>
                <c:pt idx="64">
                  <c:v>-0.0373178846489214</c:v>
                </c:pt>
                <c:pt idx="65">
                  <c:v>-0.0327560089307236</c:v>
                </c:pt>
                <c:pt idx="66">
                  <c:v>-0.0285444356831938</c:v>
                </c:pt>
                <c:pt idx="67">
                  <c:v>-0.0246814861620877</c:v>
                </c:pt>
                <c:pt idx="68">
                  <c:v>-0.0211606063013739</c:v>
                </c:pt>
                <c:pt idx="69">
                  <c:v>-0.0179713590239238</c:v>
                </c:pt>
                <c:pt idx="70">
                  <c:v>-0.0151002921480291</c:v>
                </c:pt>
                <c:pt idx="71">
                  <c:v>-0.012531691819739</c:v>
                </c:pt>
                <c:pt idx="72">
                  <c:v>-0.0102482312804058</c:v>
                </c:pt>
                <c:pt idx="73">
                  <c:v>-0.00823152453451002</c:v>
                </c:pt>
                <c:pt idx="74">
                  <c:v>-0.00646259414114985</c:v>
                </c:pt>
                <c:pt idx="75">
                  <c:v>-0.00492226193646595</c:v>
                </c:pt>
                <c:pt idx="76">
                  <c:v>-0.00359147102359662</c:v>
                </c:pt>
                <c:pt idx="77">
                  <c:v>-0.00245154685851438</c:v>
                </c:pt>
                <c:pt idx="78">
                  <c:v>-0.0014844047287506</c:v>
                </c:pt>
                <c:pt idx="79">
                  <c:v>-0.000672710379700668</c:v>
                </c:pt>
                <c:pt idx="80">
                  <c:v>7.37924107933904e-17</c:v>
                </c:pt>
                <c:pt idx="81">
                  <c:v>0.000549234758391983</c:v>
                </c:pt>
                <c:pt idx="82">
                  <c:v>0.00098949157164556</c:v>
                </c:pt>
                <c:pt idx="83">
                  <c:v>0.00133422739602211</c:v>
                </c:pt>
                <c:pt idx="84">
                  <c:v>0.00159584940890789</c:v>
                </c:pt>
                <c:pt idx="85">
                  <c:v>0.00178572322108045</c:v>
                </c:pt>
                <c:pt idx="86">
                  <c:v>0.0019141950679794</c:v>
                </c:pt>
                <c:pt idx="87">
                  <c:v>0.0019906250841956</c:v>
                </c:pt>
                <c:pt idx="88">
                  <c:v>0.00202342913212396</c:v>
                </c:pt>
                <c:pt idx="89">
                  <c:v>0.00202012699274535</c:v>
                </c:pt>
                <c:pt idx="90">
                  <c:v>0.00198739503425556</c:v>
                </c:pt>
                <c:pt idx="91">
                  <c:v>0.00193112175354028</c:v>
                </c:pt>
                <c:pt idx="92">
                  <c:v>0.00185646483737731</c:v>
                </c:pt>
                <c:pt idx="93">
                  <c:v>0.00176790861601604</c:v>
                </c:pt>
                <c:pt idx="94">
                  <c:v>0.00166932098287429</c:v>
                </c:pt>
                <c:pt idx="95">
                  <c:v>0.00156400903204551</c:v>
                </c:pt>
                <c:pt idx="96">
                  <c:v>0.00145477282172411</c:v>
                </c:pt>
                <c:pt idx="97">
                  <c:v>0.00134395680816336</c:v>
                </c:pt>
                <c:pt idx="98">
                  <c:v>0.00123349861300072</c:v>
                </c:pt>
                <c:pt idx="99">
                  <c:v>0.00112497488832074</c:v>
                </c:pt>
                <c:pt idx="100">
                  <c:v>0.00101964413022718</c:v>
                </c:pt>
                <c:pt idx="101">
                  <c:v>0.000918486364456982</c:v>
                </c:pt>
                <c:pt idx="102">
                  <c:v>0.000822239688112454</c:v>
                </c:pt>
                <c:pt idx="103">
                  <c:v>0.000731433701254436</c:v>
                </c:pt>
                <c:pt idx="104">
                  <c:v>0.000646419902148797</c:v>
                </c:pt>
                <c:pt idx="105">
                  <c:v>0.000567399151559238</c:v>
                </c:pt>
                <c:pt idx="106">
                  <c:v>0.000494446335713086</c:v>
                </c:pt>
                <c:pt idx="107">
                  <c:v>0.000427532375424845</c:v>
                </c:pt>
                <c:pt idx="108">
                  <c:v>0.000366543741249782</c:v>
                </c:pt>
                <c:pt idx="109">
                  <c:v>0.000311299642276524</c:v>
                </c:pt>
                <c:pt idx="110">
                  <c:v>0.000261567059992225</c:v>
                </c:pt>
                <c:pt idx="111">
                  <c:v>0.000217073799227493</c:v>
                </c:pt>
                <c:pt idx="112">
                  <c:v>0.000177519726099206</c:v>
                </c:pt>
                <c:pt idx="113">
                  <c:v>0.000142586358637221</c:v>
                </c:pt>
                <c:pt idx="114">
                  <c:v>0.000111944969862335</c:v>
                </c:pt>
                <c:pt idx="115">
                  <c:v>8.52633558749467e-5</c:v>
                </c:pt>
                <c:pt idx="116">
                  <c:v>6.22114133607727e-5</c:v>
                </c:pt>
                <c:pt idx="117">
                  <c:v>4.24656621162469e-5</c:v>
                </c:pt>
                <c:pt idx="118">
                  <c:v>2.57128389922287e-5</c:v>
                </c:pt>
                <c:pt idx="119">
                  <c:v>1.16526802607298e-5</c:v>
                </c:pt>
                <c:pt idx="120">
                  <c:v>7.64476865430027e-19</c:v>
                </c:pt>
                <c:pt idx="121">
                  <c:v>-9.51383718869649e-6</c:v>
                </c:pt>
                <c:pt idx="122">
                  <c:v>-1.71399598593972e-5</c:v>
                </c:pt>
                <c:pt idx="123">
                  <c:v>-2.31114692296938e-5</c:v>
                </c:pt>
                <c:pt idx="124">
                  <c:v>-2.76432822614513e-5</c:v>
                </c:pt>
                <c:pt idx="125">
                  <c:v>-3.09322739135748e-5</c:v>
                </c:pt>
                <c:pt idx="126">
                  <c:v>-3.31576615389075e-5</c:v>
                </c:pt>
                <c:pt idx="127">
                  <c:v>-3.44815812644898e-5</c:v>
                </c:pt>
                <c:pt idx="128">
                  <c:v>-3.50498125469282e-5</c:v>
                </c:pt>
                <c:pt idx="129">
                  <c:v>-3.49926129324784e-5</c:v>
                </c:pt>
                <c:pt idx="130">
                  <c:v>-3.44256303823376e-5</c:v>
                </c:pt>
                <c:pt idx="131">
                  <c:v>-3.34508653613355e-5</c:v>
                </c:pt>
                <c:pt idx="132">
                  <c:v>-3.21576592513212e-5</c:v>
                </c:pt>
                <c:pt idx="133">
                  <c:v>-3.06236895613035e-5</c:v>
                </c:pt>
                <c:pt idx="134">
                  <c:v>-2.89159558896843e-5</c:v>
                </c:pt>
                <c:pt idx="135">
                  <c:v>-2.70917436764176e-5</c:v>
                </c:pt>
                <c:pt idx="136">
                  <c:v>-2.51995554923507e-5</c:v>
                </c:pt>
                <c:pt idx="137">
                  <c:v>-2.32800019775582e-5</c:v>
                </c:pt>
                <c:pt idx="138">
                  <c:v>-2.13666465883042e-5</c:v>
                </c:pt>
                <c:pt idx="139">
                  <c:v>-1.94868000710532e-5</c:v>
                </c:pt>
                <c:pt idx="140">
                  <c:v>-1.76622620785957e-5</c:v>
                </c:pt>
                <c:pt idx="141">
                  <c:v>-1.59100086037287e-5</c:v>
                </c:pt>
                <c:pt idx="142">
                  <c:v>-1.42428249546529e-5</c:v>
                </c:pt>
                <c:pt idx="143">
                  <c:v>-1.26698848565871e-5</c:v>
                </c:pt>
                <c:pt idx="144">
                  <c:v>-1.11972769578231e-5</c:v>
                </c:pt>
                <c:pt idx="145">
                  <c:v>-9.82848056584152e-6</c:v>
                </c:pt>
                <c:pt idx="146">
                  <c:v>-8.56479285887734e-6</c:v>
                </c:pt>
                <c:pt idx="147">
                  <c:v>-7.40571012766568e-6</c:v>
                </c:pt>
                <c:pt idx="148">
                  <c:v>-6.34926581667301e-6</c:v>
                </c:pt>
                <c:pt idx="149">
                  <c:v>-5.39232826813422e-6</c:v>
                </c:pt>
                <c:pt idx="150">
                  <c:v>-4.53086113846524e-6</c:v>
                </c:pt>
                <c:pt idx="151">
                  <c:v>-3.76014946655782e-6</c:v>
                </c:pt>
                <c:pt idx="152">
                  <c:v>-3.07499433727549e-6</c:v>
                </c:pt>
                <c:pt idx="153">
                  <c:v>-2.4698790101623e-6</c:v>
                </c:pt>
                <c:pt idx="154">
                  <c:v>-1.93910928085135e-6</c:v>
                </c:pt>
                <c:pt idx="155">
                  <c:v>-1.47693071780683e-6</c:v>
                </c:pt>
                <c:pt idx="156">
                  <c:v>-1.07762527580389e-6</c:v>
                </c:pt>
                <c:pt idx="157">
                  <c:v>-7.35589635053545e-7</c:v>
                </c:pt>
                <c:pt idx="158">
                  <c:v>-4.45397455447855e-7</c:v>
                </c:pt>
                <c:pt idx="159">
                  <c:v>-2.01847572679374e-7</c:v>
                </c:pt>
                <c:pt idx="160">
                  <c:v>-5.06906643949961e-20</c:v>
                </c:pt>
                <c:pt idx="161">
                  <c:v>1.64798561398455e-7</c:v>
                </c:pt>
                <c:pt idx="162">
                  <c:v>2.96898156993072e-7</c:v>
                </c:pt>
                <c:pt idx="163">
                  <c:v>4.00336562978381e-7</c:v>
                </c:pt>
                <c:pt idx="164">
                  <c:v>4.78836568112783e-7</c:v>
                </c:pt>
                <c:pt idx="165">
                  <c:v>5.3580843781911e-7</c:v>
                </c:pt>
                <c:pt idx="166">
                  <c:v>5.74356572702536e-7</c:v>
                </c:pt>
                <c:pt idx="167">
                  <c:v>5.97289492601806e-7</c:v>
                </c:pt>
                <c:pt idx="168">
                  <c:v>6.07132387327683e-7</c:v>
                </c:pt>
                <c:pt idx="169">
                  <c:v>6.06141576366039e-7</c:v>
                </c:pt>
                <c:pt idx="170">
                  <c:v>5.96320312164436e-7</c:v>
                </c:pt>
                <c:pt idx="171">
                  <c:v>5.79435445419654e-7</c:v>
                </c:pt>
                <c:pt idx="172">
                  <c:v>5.5703454636125e-7</c:v>
                </c:pt>
                <c:pt idx="173">
                  <c:v>5.3046314376839e-7</c:v>
                </c:pt>
                <c:pt idx="174">
                  <c:v>5.0088180379455e-7</c:v>
                </c:pt>
                <c:pt idx="175">
                  <c:v>4.69282824069622e-7</c:v>
                </c:pt>
                <c:pt idx="176">
                  <c:v>4.36506365481502e-7</c:v>
                </c:pt>
                <c:pt idx="177">
                  <c:v>4.0325588499808e-7</c:v>
                </c:pt>
                <c:pt idx="178">
                  <c:v>3.701127683629e-7</c:v>
                </c:pt>
                <c:pt idx="179">
                  <c:v>3.37550091963415e-7</c:v>
                </c:pt>
                <c:pt idx="180">
                  <c:v>3.05945469095672e-7</c:v>
                </c:pt>
                <c:pt idx="181">
                  <c:v>2.75592957681383e-7</c:v>
                </c:pt>
                <c:pt idx="182">
                  <c:v>2.46714024659364e-7</c:v>
                </c:pt>
                <c:pt idx="183">
                  <c:v>2.19467577175985e-7</c:v>
                </c:pt>
                <c:pt idx="184">
                  <c:v>1.93959082716075e-7</c:v>
                </c:pt>
                <c:pt idx="185">
                  <c:v>1.70248809797593e-7</c:v>
                </c:pt>
                <c:pt idx="186">
                  <c:v>1.48359228124693e-7</c:v>
                </c:pt>
                <c:pt idx="187">
                  <c:v>1.2828161245218e-7</c:v>
                </c:pt>
                <c:pt idx="188">
                  <c:v>1.09981898131227e-7</c:v>
                </c:pt>
                <c:pt idx="189">
                  <c:v>9.34058386276283e-8</c:v>
                </c:pt>
                <c:pt idx="190">
                  <c:v>7.84835164514401e-8</c:v>
                </c:pt>
                <c:pt idx="191">
                  <c:v>6.513325910898e-8</c:v>
                </c:pt>
                <c:pt idx="192">
                  <c:v>5.32650110613182e-8</c:v>
                </c:pt>
                <c:pt idx="193">
                  <c:v>4.27832114035618e-8</c:v>
                </c:pt>
                <c:pt idx="194">
                  <c:v>3.35892252033112e-8</c:v>
                </c:pt>
                <c:pt idx="195">
                  <c:v>2.55833742739456e-8</c:v>
                </c:pt>
                <c:pt idx="196">
                  <c:v>1.86666107120408e-8</c:v>
                </c:pt>
                <c:pt idx="197">
                  <c:v>1.27418738866475e-8</c:v>
                </c:pt>
                <c:pt idx="198">
                  <c:v>7.71516880650092e-9</c:v>
                </c:pt>
                <c:pt idx="199">
                  <c:v>3.49640097256081e-9</c:v>
                </c:pt>
                <c:pt idx="200">
                  <c:v>1.52674381150167e-21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0</c:v>
                </c:pt>
                <c:pt idx="1" c:formatCode="0.000000">
                  <c:v>0.000405577867597361</c:v>
                </c:pt>
                <c:pt idx="2" c:formatCode="0.000000">
                  <c:v>0.000811155735194723</c:v>
                </c:pt>
                <c:pt idx="3" c:formatCode="0.000000">
                  <c:v>0.00121673360279208</c:v>
                </c:pt>
                <c:pt idx="4" c:formatCode="0.000000">
                  <c:v>0.00162231147038945</c:v>
                </c:pt>
                <c:pt idx="5" c:formatCode="0.000000">
                  <c:v>0.00202788933798681</c:v>
                </c:pt>
                <c:pt idx="6" c:formatCode="0.000000">
                  <c:v>0.00243346720558417</c:v>
                </c:pt>
                <c:pt idx="7" c:formatCode="0.000000">
                  <c:v>0.00283904507318153</c:v>
                </c:pt>
                <c:pt idx="8" c:formatCode="0.000000">
                  <c:v>0.00324462294077889</c:v>
                </c:pt>
                <c:pt idx="9" c:formatCode="0.000000">
                  <c:v>0.00365020080837625</c:v>
                </c:pt>
                <c:pt idx="10" c:formatCode="0.000000">
                  <c:v>0.00405577867597361</c:v>
                </c:pt>
                <c:pt idx="11" c:formatCode="0.000000">
                  <c:v>0.00446135654357097</c:v>
                </c:pt>
                <c:pt idx="12" c:formatCode="0.000000">
                  <c:v>0.00486693441116834</c:v>
                </c:pt>
                <c:pt idx="13" c:formatCode="0.000000">
                  <c:v>0.0052725122787657</c:v>
                </c:pt>
                <c:pt idx="14" c:formatCode="0.000000">
                  <c:v>0.00567809014636306</c:v>
                </c:pt>
                <c:pt idx="15" c:formatCode="0.000000">
                  <c:v>0.00608366801396042</c:v>
                </c:pt>
                <c:pt idx="16" c:formatCode="0.000000">
                  <c:v>0.00648924588155778</c:v>
                </c:pt>
                <c:pt idx="17" c:formatCode="0.000000">
                  <c:v>0.00689482374915514</c:v>
                </c:pt>
                <c:pt idx="18" c:formatCode="0.000000">
                  <c:v>0.0073004016167525</c:v>
                </c:pt>
                <c:pt idx="19" c:formatCode="0.000000">
                  <c:v>0.00770597948434986</c:v>
                </c:pt>
                <c:pt idx="20" c:formatCode="0.000000">
                  <c:v>0.00811155735194722</c:v>
                </c:pt>
                <c:pt idx="21" c:formatCode="0.000000">
                  <c:v>0.00851713521954458</c:v>
                </c:pt>
                <c:pt idx="22" c:formatCode="0.000000">
                  <c:v>0.00892271308714195</c:v>
                </c:pt>
                <c:pt idx="23" c:formatCode="0.000000">
                  <c:v>0.00932829095473931</c:v>
                </c:pt>
                <c:pt idx="24" c:formatCode="0.000000">
                  <c:v>0.00973386882233667</c:v>
                </c:pt>
                <c:pt idx="25" c:formatCode="0.000000">
                  <c:v>0.010139446689934</c:v>
                </c:pt>
                <c:pt idx="26" c:formatCode="0.000000">
                  <c:v>0.0105450245575314</c:v>
                </c:pt>
                <c:pt idx="27" c:formatCode="0.000000">
                  <c:v>0.0109506024251288</c:v>
                </c:pt>
                <c:pt idx="28" c:formatCode="0.000000">
                  <c:v>0.0113561802927261</c:v>
                </c:pt>
                <c:pt idx="29" c:formatCode="0.000000">
                  <c:v>0.0117617581603235</c:v>
                </c:pt>
                <c:pt idx="30" c:formatCode="0.000000">
                  <c:v>0.0121673360279208</c:v>
                </c:pt>
                <c:pt idx="31" c:formatCode="0.000000">
                  <c:v>0.0125729138955182</c:v>
                </c:pt>
                <c:pt idx="32" c:formatCode="0.000000">
                  <c:v>0.0129784917631156</c:v>
                </c:pt>
                <c:pt idx="33" c:formatCode="0.000000">
                  <c:v>0.0133840696307129</c:v>
                </c:pt>
                <c:pt idx="34" c:formatCode="0.000000">
                  <c:v>0.0137896474983103</c:v>
                </c:pt>
                <c:pt idx="35" c:formatCode="0.000000">
                  <c:v>0.0141952253659076</c:v>
                </c:pt>
                <c:pt idx="36" c:formatCode="0.000000">
                  <c:v>0.014600803233505</c:v>
                </c:pt>
                <c:pt idx="37" c:formatCode="0.000000">
                  <c:v>0.0150063811011024</c:v>
                </c:pt>
                <c:pt idx="38" c:formatCode="0.000000">
                  <c:v>0.0154119589686997</c:v>
                </c:pt>
                <c:pt idx="39" c:formatCode="0.000000">
                  <c:v>0.0158175368362971</c:v>
                </c:pt>
                <c:pt idx="40" c:formatCode="0.000000">
                  <c:v>0.0162231147038944</c:v>
                </c:pt>
                <c:pt idx="41" c:formatCode="0.000000">
                  <c:v>0.0166286925714918</c:v>
                </c:pt>
                <c:pt idx="42" c:formatCode="0.000000">
                  <c:v>0.0170342704390892</c:v>
                </c:pt>
                <c:pt idx="43" c:formatCode="0.000000">
                  <c:v>0.0174398483066865</c:v>
                </c:pt>
                <c:pt idx="44" c:formatCode="0.000000">
                  <c:v>0.0178454261742839</c:v>
                </c:pt>
                <c:pt idx="45" c:formatCode="0.000000">
                  <c:v>0.0182510040418813</c:v>
                </c:pt>
                <c:pt idx="46" c:formatCode="0.000000">
                  <c:v>0.0186565819094786</c:v>
                </c:pt>
                <c:pt idx="47" c:formatCode="0.000000">
                  <c:v>0.019062159777076</c:v>
                </c:pt>
                <c:pt idx="48" c:formatCode="0.000000">
                  <c:v>0.0194677376446733</c:v>
                </c:pt>
                <c:pt idx="49" c:formatCode="0.000000">
                  <c:v>0.0198733155122707</c:v>
                </c:pt>
                <c:pt idx="50" c:formatCode="0.000000">
                  <c:v>0.0202788933798681</c:v>
                </c:pt>
                <c:pt idx="51" c:formatCode="0.000000">
                  <c:v>0.0206844712474654</c:v>
                </c:pt>
                <c:pt idx="52" c:formatCode="0.000000">
                  <c:v>0.0210900491150628</c:v>
                </c:pt>
                <c:pt idx="53" c:formatCode="0.000000">
                  <c:v>0.0214956269826602</c:v>
                </c:pt>
                <c:pt idx="54" c:formatCode="0.000000">
                  <c:v>0.0219012048502575</c:v>
                </c:pt>
                <c:pt idx="55" c:formatCode="0.000000">
                  <c:v>0.0223067827178549</c:v>
                </c:pt>
                <c:pt idx="56" c:formatCode="0.000000">
                  <c:v>0.0227123605854523</c:v>
                </c:pt>
                <c:pt idx="57" c:formatCode="0.000000">
                  <c:v>0.0231179384530496</c:v>
                </c:pt>
                <c:pt idx="58" c:formatCode="0.000000">
                  <c:v>0.023523516320647</c:v>
                </c:pt>
                <c:pt idx="59" c:formatCode="0.000000">
                  <c:v>0.0239290941882443</c:v>
                </c:pt>
                <c:pt idx="60" c:formatCode="0.000000">
                  <c:v>0.0243346720558417</c:v>
                </c:pt>
                <c:pt idx="61" c:formatCode="0.000000">
                  <c:v>0.0247402499234391</c:v>
                </c:pt>
                <c:pt idx="62" c:formatCode="0.000000">
                  <c:v>0.0251458277910364</c:v>
                </c:pt>
                <c:pt idx="63" c:formatCode="0.000000">
                  <c:v>0.0255514056586338</c:v>
                </c:pt>
                <c:pt idx="64" c:formatCode="0.000000">
                  <c:v>0.0259569835262312</c:v>
                </c:pt>
                <c:pt idx="65" c:formatCode="0.000000">
                  <c:v>0.0263625613938285</c:v>
                </c:pt>
                <c:pt idx="66" c:formatCode="0.000000">
                  <c:v>0.0267681392614259</c:v>
                </c:pt>
                <c:pt idx="67" c:formatCode="0.000000">
                  <c:v>0.0271737171290232</c:v>
                </c:pt>
                <c:pt idx="68" c:formatCode="0.000000">
                  <c:v>0.0275792949966206</c:v>
                </c:pt>
                <c:pt idx="69" c:formatCode="0.000000">
                  <c:v>0.027984872864218</c:v>
                </c:pt>
                <c:pt idx="70" c:formatCode="0.000000">
                  <c:v>0.0283904507318153</c:v>
                </c:pt>
                <c:pt idx="71" c:formatCode="0.000000">
                  <c:v>0.0287960285994127</c:v>
                </c:pt>
                <c:pt idx="72" c:formatCode="0.000000">
                  <c:v>0.0292016064670101</c:v>
                </c:pt>
                <c:pt idx="73" c:formatCode="0.000000">
                  <c:v>0.0296071843346074</c:v>
                </c:pt>
                <c:pt idx="74" c:formatCode="0.000000">
                  <c:v>0.0300127622022048</c:v>
                </c:pt>
                <c:pt idx="75" c:formatCode="0.000000">
                  <c:v>0.0304183400698021</c:v>
                </c:pt>
                <c:pt idx="76" c:formatCode="0.000000">
                  <c:v>0.0308239179373995</c:v>
                </c:pt>
                <c:pt idx="77" c:formatCode="0.000000">
                  <c:v>0.0312294958049969</c:v>
                </c:pt>
                <c:pt idx="78" c:formatCode="0.000000">
                  <c:v>0.0316350736725942</c:v>
                </c:pt>
                <c:pt idx="79" c:formatCode="0.000000">
                  <c:v>0.0320406515401916</c:v>
                </c:pt>
                <c:pt idx="80" c:formatCode="0.000000">
                  <c:v>0.0324462294077889</c:v>
                </c:pt>
                <c:pt idx="81" c:formatCode="0.000000">
                  <c:v>0.0328518072753863</c:v>
                </c:pt>
                <c:pt idx="82" c:formatCode="0.000000">
                  <c:v>0.0332573851429837</c:v>
                </c:pt>
                <c:pt idx="83" c:formatCode="0.000000">
                  <c:v>0.033662963010581</c:v>
                </c:pt>
                <c:pt idx="84" c:formatCode="0.000000">
                  <c:v>0.0340685408781784</c:v>
                </c:pt>
                <c:pt idx="85" c:formatCode="0.000000">
                  <c:v>0.0344741187457757</c:v>
                </c:pt>
                <c:pt idx="86" c:formatCode="0.000000">
                  <c:v>0.0348796966133731</c:v>
                </c:pt>
                <c:pt idx="87" c:formatCode="0.000000">
                  <c:v>0.0352852744809705</c:v>
                </c:pt>
                <c:pt idx="88" c:formatCode="0.000000">
                  <c:v>0.0356908523485678</c:v>
                </c:pt>
                <c:pt idx="89" c:formatCode="0.000000">
                  <c:v>0.0360964302161652</c:v>
                </c:pt>
                <c:pt idx="90" c:formatCode="0.000000">
                  <c:v>0.0365020080837625</c:v>
                </c:pt>
                <c:pt idx="91" c:formatCode="0.000000">
                  <c:v>0.0369075859513599</c:v>
                </c:pt>
                <c:pt idx="92" c:formatCode="0.000000">
                  <c:v>0.0373131638189573</c:v>
                </c:pt>
                <c:pt idx="93" c:formatCode="0.000000">
                  <c:v>0.0377187416865546</c:v>
                </c:pt>
                <c:pt idx="94" c:formatCode="0.000000">
                  <c:v>0.038124319554152</c:v>
                </c:pt>
                <c:pt idx="95" c:formatCode="0.000000">
                  <c:v>0.0385298974217493</c:v>
                </c:pt>
                <c:pt idx="96" c:formatCode="0.000000">
                  <c:v>0.0389354752893467</c:v>
                </c:pt>
                <c:pt idx="97" c:formatCode="0.000000">
                  <c:v>0.0393410531569441</c:v>
                </c:pt>
                <c:pt idx="98" c:formatCode="0.000000">
                  <c:v>0.0397466310245414</c:v>
                </c:pt>
                <c:pt idx="99" c:formatCode="0.000000">
                  <c:v>0.0401522088921388</c:v>
                </c:pt>
                <c:pt idx="100" c:formatCode="0.000000">
                  <c:v>0.0405577867597361</c:v>
                </c:pt>
                <c:pt idx="101" c:formatCode="0.000000">
                  <c:v>0.0409633646273335</c:v>
                </c:pt>
                <c:pt idx="102" c:formatCode="0.000000">
                  <c:v>0.0413689424949309</c:v>
                </c:pt>
                <c:pt idx="103" c:formatCode="0.000000">
                  <c:v>0.0417745203625282</c:v>
                </c:pt>
                <c:pt idx="104" c:formatCode="0.000000">
                  <c:v>0.0421800982301256</c:v>
                </c:pt>
                <c:pt idx="105" c:formatCode="0.000000">
                  <c:v>0.0425856760977229</c:v>
                </c:pt>
                <c:pt idx="106" c:formatCode="0.000000">
                  <c:v>0.0429912539653203</c:v>
                </c:pt>
                <c:pt idx="107" c:formatCode="0.000000">
                  <c:v>0.0433968318329176</c:v>
                </c:pt>
                <c:pt idx="108" c:formatCode="0.000000">
                  <c:v>0.043802409700515</c:v>
                </c:pt>
                <c:pt idx="109" c:formatCode="0.000000">
                  <c:v>0.0442079875681124</c:v>
                </c:pt>
                <c:pt idx="110" c:formatCode="0.000000">
                  <c:v>0.0446135654357097</c:v>
                </c:pt>
                <c:pt idx="111" c:formatCode="0.000000">
                  <c:v>0.0450191433033071</c:v>
                </c:pt>
                <c:pt idx="112" c:formatCode="0.000000">
                  <c:v>0.0454247211709044</c:v>
                </c:pt>
                <c:pt idx="113" c:formatCode="0.000000">
                  <c:v>0.0458302990385018</c:v>
                </c:pt>
                <c:pt idx="114" c:formatCode="0.000000">
                  <c:v>0.0462358769060992</c:v>
                </c:pt>
                <c:pt idx="115" c:formatCode="0.000000">
                  <c:v>0.0466414547736965</c:v>
                </c:pt>
                <c:pt idx="116" c:formatCode="0.000000">
                  <c:v>0.0470470326412939</c:v>
                </c:pt>
                <c:pt idx="117" c:formatCode="0.000000">
                  <c:v>0.0474526105088912</c:v>
                </c:pt>
                <c:pt idx="118" c:formatCode="0.000000">
                  <c:v>0.0478581883764886</c:v>
                </c:pt>
                <c:pt idx="119" c:formatCode="0.000000">
                  <c:v>0.048263766244086</c:v>
                </c:pt>
                <c:pt idx="120" c:formatCode="0.000000">
                  <c:v>0.0486693441116833</c:v>
                </c:pt>
                <c:pt idx="121" c:formatCode="0.000000">
                  <c:v>0.0490749219792807</c:v>
                </c:pt>
                <c:pt idx="122" c:formatCode="0.000000">
                  <c:v>0.049480499846878</c:v>
                </c:pt>
                <c:pt idx="123" c:formatCode="0.000000">
                  <c:v>0.0498860777144754</c:v>
                </c:pt>
                <c:pt idx="124" c:formatCode="0.000000">
                  <c:v>0.0502916555820728</c:v>
                </c:pt>
                <c:pt idx="125" c:formatCode="0.000000">
                  <c:v>0.0506972334496701</c:v>
                </c:pt>
                <c:pt idx="126" c:formatCode="0.000000">
                  <c:v>0.0511028113172675</c:v>
                </c:pt>
                <c:pt idx="127" c:formatCode="0.000000">
                  <c:v>0.0515083891848648</c:v>
                </c:pt>
                <c:pt idx="128" c:formatCode="0.000000">
                  <c:v>0.0519139670524622</c:v>
                </c:pt>
                <c:pt idx="129" c:formatCode="0.000000">
                  <c:v>0.0523195449200596</c:v>
                </c:pt>
                <c:pt idx="130" c:formatCode="0.000000">
                  <c:v>0.0527251227876569</c:v>
                </c:pt>
                <c:pt idx="131" c:formatCode="0.000000">
                  <c:v>0.0531307006552543</c:v>
                </c:pt>
                <c:pt idx="132" c:formatCode="0.000000">
                  <c:v>0.0535362785228516</c:v>
                </c:pt>
                <c:pt idx="133" c:formatCode="0.000000">
                  <c:v>0.053941856390449</c:v>
                </c:pt>
                <c:pt idx="134" c:formatCode="0.000000">
                  <c:v>0.0543474342580463</c:v>
                </c:pt>
                <c:pt idx="135" c:formatCode="0.000000">
                  <c:v>0.0547530121256437</c:v>
                </c:pt>
                <c:pt idx="136" c:formatCode="0.000000">
                  <c:v>0.0551585899932411</c:v>
                </c:pt>
                <c:pt idx="137" c:formatCode="0.000000">
                  <c:v>0.0555641678608384</c:v>
                </c:pt>
                <c:pt idx="138" c:formatCode="0.000000">
                  <c:v>0.0559697457284358</c:v>
                </c:pt>
                <c:pt idx="139" c:formatCode="0.000000">
                  <c:v>0.0563753235960331</c:v>
                </c:pt>
                <c:pt idx="140" c:formatCode="0.000000">
                  <c:v>0.0567809014636305</c:v>
                </c:pt>
                <c:pt idx="141" c:formatCode="0.000000">
                  <c:v>0.0571864793312279</c:v>
                </c:pt>
                <c:pt idx="142" c:formatCode="0.000000">
                  <c:v>0.0575920571988252</c:v>
                </c:pt>
                <c:pt idx="143" c:formatCode="0.000000">
                  <c:v>0.0579976350664226</c:v>
                </c:pt>
                <c:pt idx="144" c:formatCode="0.000000">
                  <c:v>0.0584032129340199</c:v>
                </c:pt>
                <c:pt idx="145" c:formatCode="0.000000">
                  <c:v>0.0588087908016173</c:v>
                </c:pt>
                <c:pt idx="146" c:formatCode="0.000000">
                  <c:v>0.0592143686692147</c:v>
                </c:pt>
                <c:pt idx="147" c:formatCode="0.000000">
                  <c:v>0.059619946536812</c:v>
                </c:pt>
                <c:pt idx="148" c:formatCode="0.000000">
                  <c:v>0.0600255244044094</c:v>
                </c:pt>
                <c:pt idx="149" c:formatCode="0.000000">
                  <c:v>0.0604311022720067</c:v>
                </c:pt>
                <c:pt idx="150" c:formatCode="0.000000">
                  <c:v>0.0608366801396041</c:v>
                </c:pt>
                <c:pt idx="151" c:formatCode="0.000000">
                  <c:v>0.0612422580072015</c:v>
                </c:pt>
                <c:pt idx="152" c:formatCode="0.000000">
                  <c:v>0.0616478358747988</c:v>
                </c:pt>
                <c:pt idx="153" c:formatCode="0.000000">
                  <c:v>0.0620534137423962</c:v>
                </c:pt>
                <c:pt idx="154" c:formatCode="0.000000">
                  <c:v>0.0624589916099935</c:v>
                </c:pt>
                <c:pt idx="155" c:formatCode="0.000000">
                  <c:v>0.0628645694775909</c:v>
                </c:pt>
                <c:pt idx="156" c:formatCode="0.000000">
                  <c:v>0.0632701473451883</c:v>
                </c:pt>
                <c:pt idx="157" c:formatCode="0.000000">
                  <c:v>0.0636757252127856</c:v>
                </c:pt>
                <c:pt idx="158" c:formatCode="0.000000">
                  <c:v>0.064081303080383</c:v>
                </c:pt>
                <c:pt idx="159" c:formatCode="0.000000">
                  <c:v>0.0644868809479803</c:v>
                </c:pt>
                <c:pt idx="160" c:formatCode="0.000000">
                  <c:v>0.0648924588155777</c:v>
                </c:pt>
                <c:pt idx="161" c:formatCode="0.000000">
                  <c:v>0.065298036683175</c:v>
                </c:pt>
                <c:pt idx="162" c:formatCode="0.000000">
                  <c:v>0.0657036145507724</c:v>
                </c:pt>
                <c:pt idx="163" c:formatCode="0.000000">
                  <c:v>0.0661091924183698</c:v>
                </c:pt>
                <c:pt idx="164" c:formatCode="0.000000">
                  <c:v>0.0665147702859671</c:v>
                </c:pt>
                <c:pt idx="165" c:formatCode="0.000000">
                  <c:v>0.0669203481535645</c:v>
                </c:pt>
                <c:pt idx="166" c:formatCode="0.000000">
                  <c:v>0.0673259260211618</c:v>
                </c:pt>
                <c:pt idx="167" c:formatCode="0.000000">
                  <c:v>0.0677315038887592</c:v>
                </c:pt>
                <c:pt idx="168" c:formatCode="0.000000">
                  <c:v>0.0681370817563566</c:v>
                </c:pt>
                <c:pt idx="169" c:formatCode="0.000000">
                  <c:v>0.0685426596239539</c:v>
                </c:pt>
                <c:pt idx="170" c:formatCode="0.000000">
                  <c:v>0.0689482374915513</c:v>
                </c:pt>
                <c:pt idx="171" c:formatCode="0.000000">
                  <c:v>0.0693538153591486</c:v>
                </c:pt>
                <c:pt idx="172" c:formatCode="0.000000">
                  <c:v>0.069759393226746</c:v>
                </c:pt>
                <c:pt idx="173" c:formatCode="0.000000">
                  <c:v>0.0701649710943434</c:v>
                </c:pt>
                <c:pt idx="174" c:formatCode="0.000000">
                  <c:v>0.0705705489619407</c:v>
                </c:pt>
                <c:pt idx="175" c:formatCode="0.000000">
                  <c:v>0.0709761268295381</c:v>
                </c:pt>
                <c:pt idx="176" c:formatCode="0.000000">
                  <c:v>0.0713817046971354</c:v>
                </c:pt>
                <c:pt idx="177" c:formatCode="0.000000">
                  <c:v>0.0717872825647328</c:v>
                </c:pt>
                <c:pt idx="178" c:formatCode="0.000000">
                  <c:v>0.0721928604323302</c:v>
                </c:pt>
                <c:pt idx="179" c:formatCode="0.000000">
                  <c:v>0.0725984382999275</c:v>
                </c:pt>
                <c:pt idx="180" c:formatCode="0.000000">
                  <c:v>0.0730040161675249</c:v>
                </c:pt>
                <c:pt idx="181" c:formatCode="0.000000">
                  <c:v>0.0734095940351222</c:v>
                </c:pt>
                <c:pt idx="182" c:formatCode="0.000000">
                  <c:v>0.0738151719027196</c:v>
                </c:pt>
                <c:pt idx="183" c:formatCode="0.000000">
                  <c:v>0.074220749770317</c:v>
                </c:pt>
                <c:pt idx="184" c:formatCode="0.000000">
                  <c:v>0.0746263276379143</c:v>
                </c:pt>
                <c:pt idx="185" c:formatCode="0.000000">
                  <c:v>0.0750319055055117</c:v>
                </c:pt>
                <c:pt idx="186" c:formatCode="0.000000">
                  <c:v>0.075437483373109</c:v>
                </c:pt>
                <c:pt idx="187" c:formatCode="0.000000">
                  <c:v>0.0758430612407064</c:v>
                </c:pt>
                <c:pt idx="188" c:formatCode="0.000000">
                  <c:v>0.0762486391083037</c:v>
                </c:pt>
                <c:pt idx="189" c:formatCode="0.000000">
                  <c:v>0.0766542169759011</c:v>
                </c:pt>
                <c:pt idx="190" c:formatCode="0.000000">
                  <c:v>0.0770597948434985</c:v>
                </c:pt>
                <c:pt idx="191" c:formatCode="0.000000">
                  <c:v>0.0774653727110958</c:v>
                </c:pt>
                <c:pt idx="192" c:formatCode="0.000000">
                  <c:v>0.0778709505786932</c:v>
                </c:pt>
                <c:pt idx="193" c:formatCode="0.000000">
                  <c:v>0.0782765284462905</c:v>
                </c:pt>
                <c:pt idx="194" c:formatCode="0.000000">
                  <c:v>0.0786821063138879</c:v>
                </c:pt>
                <c:pt idx="195" c:formatCode="0.000000">
                  <c:v>0.0790876841814853</c:v>
                </c:pt>
                <c:pt idx="196" c:formatCode="0.000000">
                  <c:v>0.0794932620490826</c:v>
                </c:pt>
                <c:pt idx="197" c:formatCode="0.000000">
                  <c:v>0.07989883991668</c:v>
                </c:pt>
                <c:pt idx="198" c:formatCode="0.000000">
                  <c:v>0.0803044177842773</c:v>
                </c:pt>
                <c:pt idx="199" c:formatCode="0.000000">
                  <c:v>0.0807099956518747</c:v>
                </c:pt>
                <c:pt idx="200" c:formatCode="0.000000">
                  <c:v>0.0811155735194721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10</c:v>
                </c:pt>
                <c:pt idx="1">
                  <c:v>8.09267607517352</c:v>
                </c:pt>
                <c:pt idx="2">
                  <c:v>6.41511579147151</c:v>
                </c:pt>
                <c:pt idx="3">
                  <c:v>4.95008868693236</c:v>
                </c:pt>
                <c:pt idx="4">
                  <c:v>892170</c:v>
                </c:pt>
                <c:pt idx="5">
                  <c:v>2.58898097110129</c:v>
                </c:pt>
                <c:pt idx="6">
                  <c:v>1.65942447247227</c:v>
                </c:pt>
                <c:pt idx="7">
                  <c:v>0.875814680381589</c:v>
                </c:pt>
                <c:pt idx="8">
                  <c:v>0.223014129816796</c:v>
                </c:pt>
                <c:pt idx="9">
                  <c:v>-0.313281086463667</c:v>
                </c:pt>
                <c:pt idx="10">
                  <c:v>-0.746481641716742</c:v>
                </c:pt>
                <c:pt idx="11">
                  <c:v>-1.0890695334395</c:v>
                </c:pt>
                <c:pt idx="12">
                  <c:v>-1.35258295477469</c:v>
                </c:pt>
                <c:pt idx="13">
                  <c:v>-1.54761797556083</c:v>
                </c:pt>
                <c:pt idx="14">
                  <c:v>-1.68384392263144</c:v>
                </c:pt>
                <c:pt idx="15">
                  <c:v>-1.77002971619432</c:v>
                </c:pt>
                <c:pt idx="16">
                  <c:v>-1.81407875973023</c:v>
                </c:pt>
                <c:pt idx="17">
                  <c:v>-1.82307029466246</c:v>
                </c:pt>
                <c:pt idx="18">
                  <c:v>-1.80330541831716</c:v>
                </c:pt>
                <c:pt idx="19">
                  <c:v>-1.7603562250194</c:v>
                </c:pt>
                <c:pt idx="20">
                  <c:v>-1.69911676642884</c:v>
                </c:pt>
                <c:pt idx="21">
                  <c:v>-1.62385473949935</c:v>
                </c:pt>
                <c:pt idx="22">
                  <c:v>-1.53826299999354</c:v>
                </c:pt>
                <c:pt idx="23">
                  <c:v>-1.44551016765141</c:v>
                </c:pt>
                <c:pt idx="24">
                  <c:v>-1.34828973732485</c:v>
                </c:pt>
                <c:pt idx="25">
                  <c:v>-1.24886724010644</c:v>
                </c:pt>
                <c:pt idx="26">
                  <c:v>-1.14912511116739</c:v>
                </c:pt>
                <c:pt idx="27">
                  <c:v>-1.05060501812699</c:v>
                </c:pt>
                <c:pt idx="28">
                  <c:v>-0.9545474867192</c:v>
                </c:pt>
                <c:pt idx="29">
                  <c:v>-0.861928730668327</c:v>
                </c:pt>
                <c:pt idx="30">
                  <c:v>-0.773494651340696</c:v>
                </c:pt>
                <c:pt idx="31">
                  <c:v>-0.689792021140244</c:v>
                </c:pt>
                <c:pt idx="32">
                  <c:v>-0.61119690392507</c:v>
                </c:pt>
                <c:pt idx="33">
                  <c:v>-0.537940397023966</c:v>
                </c:pt>
                <c:pt idx="34">
                  <c:v>-0.470131803730876</c:v>
                </c:pt>
                <c:pt idx="35">
                  <c:v>-0.407779363375184</c:v>
                </c:pt>
                <c:pt idx="36">
                  <c:v>-0.350808679051905</c:v>
                </c:pt>
                <c:pt idx="37">
                  <c:v>-0.299078991615289</c:v>
                </c:pt>
                <c:pt idx="38">
                  <c:v>-0.252397453285862</c:v>
                </c:pt>
                <c:pt idx="39">
                  <c:v>-0.21053155581599</c:v>
                </c:pt>
                <c:pt idx="40">
                  <c:v>-0.173219867157577</c:v>
                </c:pt>
                <c:pt idx="41">
                  <c:v>-0.140181227469085</c:v>
                </c:pt>
                <c:pt idx="42">
                  <c:v>-0.111122550519918</c:v>
                </c:pt>
                <c:pt idx="43">
                  <c:v>-0.0857453704768627</c:v>
                </c:pt>
                <c:pt idx="44">
                  <c:v>-0.0637512670172367</c:v>
                </c:pt>
                <c:pt idx="45">
                  <c:v>-0.0448462939887655</c:v>
                </c:pt>
                <c:pt idx="46">
                  <c:v>-0.0287445286679677</c:v>
                </c:pt>
                <c:pt idx="47">
                  <c:v>-0.0151708502590342</c:v>
                </c:pt>
                <c:pt idx="48">
                  <c:v>-0.00386304779411262</c:v>
                </c:pt>
                <c:pt idx="49">
                  <c:v>0.00542665081802163</c:v>
                </c:pt>
                <c:pt idx="50">
                  <c:v>0.0129305450813728</c:v>
                </c:pt>
                <c:pt idx="51">
                  <c:v>0.0188648479907751</c:v>
                </c:pt>
                <c:pt idx="52">
                  <c:v>0.0234294239745658</c:v>
                </c:pt>
                <c:pt idx="53">
                  <c:v>0.026807818013733</c:v>
                </c:pt>
                <c:pt idx="54">
                  <c:v>0.0291675220592307</c:v>
                </c:pt>
                <c:pt idx="55">
                  <c:v>0.030660431230416</c:v>
                </c:pt>
                <c:pt idx="56">
                  <c:v>0.031423448177387</c:v>
                </c:pt>
                <c:pt idx="57">
                  <c:v>0.0315791994260355</c:v>
                </c:pt>
                <c:pt idx="58">
                  <c:v>0.0312368325005448</c:v>
                </c:pt>
                <c:pt idx="59">
                  <c:v>0.0304928671447868</c:v>
                </c:pt>
                <c:pt idx="60">
                  <c:v>0.0294320780566011</c:v>
                </c:pt>
                <c:pt idx="61">
                  <c:v>0.0281283902259268</c:v>
                </c:pt>
                <c:pt idx="62">
                  <c:v>0.0266457712512285</c:v>
                </c:pt>
                <c:pt idx="63">
                  <c:v>0.0250391079215486</c:v>
                </c:pt>
                <c:pt idx="64">
                  <c:v>0.023355056918934</c:v>
                </c:pt>
                <c:pt idx="65">
                  <c:v>0.0216328617428694</c:v>
                </c:pt>
                <c:pt idx="66">
                  <c:v>0.0199051299103861</c:v>
                </c:pt>
                <c:pt idx="67">
                  <c:v>0.0181985661675039</c:v>
                </c:pt>
                <c:pt idx="68">
                  <c:v>0.0165346588845079</c:v>
                </c:pt>
                <c:pt idx="69">
                  <c:v>0.0149303180225679</c:v>
                </c:pt>
                <c:pt idx="70">
                  <c:v>0.0133984640752338</c:v>
                </c:pt>
                <c:pt idx="71">
                  <c:v>0.0119485682268259</c:v>
                </c:pt>
                <c:pt idx="72">
                  <c:v>0.0105871446505006</c:v>
                </c:pt>
                <c:pt idx="73">
                  <c:v>0.00931819641111886</c:v>
                </c:pt>
                <c:pt idx="74">
                  <c:v>0.00814361685888088</c:v>
                </c:pt>
                <c:pt idx="75">
                  <c:v>0.00706354871534565</c:v>
                </c:pt>
                <c:pt idx="76">
                  <c:v>0.00607670327831045</c:v>
                </c:pt>
                <c:pt idx="77">
                  <c:v>0.00518064231972204</c:v>
                </c:pt>
                <c:pt idx="78">
                  <c:v>0.00437202533290915</c:v>
                </c:pt>
                <c:pt idx="79">
                  <c:v>0.00364682481309409</c:v>
                </c:pt>
                <c:pt idx="80">
                  <c:v>0.00300051223780784</c:v>
                </c:pt>
                <c:pt idx="81">
                  <c:v>0.00242821736001808</c:v>
                </c:pt>
                <c:pt idx="82">
                  <c:v>0.00192486334392683</c:v>
                </c:pt>
                <c:pt idx="83">
                  <c:v>0.00148528016833893</c:v>
                </c:pt>
                <c:pt idx="84">
                  <c:v>0.00110429860038508</c:v>
                </c:pt>
                <c:pt idx="85">
                  <c:v>0.000776826908722938</c:v>
                </c:pt>
                <c:pt idx="86">
                  <c:v>0.000497912343737639</c:v>
                </c:pt>
                <c:pt idx="87">
                  <c:v>0.00026278926665313</c:v>
                </c:pt>
                <c:pt idx="88">
                  <c:v>6.6915662571887e-5</c:v>
                </c:pt>
                <c:pt idx="89">
                  <c:v>-9.40003733802541e-5</c:v>
                </c:pt>
                <c:pt idx="90">
                  <c:v>-0.000223982730126693</c:v>
                </c:pt>
                <c:pt idx="91">
                  <c:v>-0.000326776646289773</c:v>
                </c:pt>
                <c:pt idx="92">
                  <c:v>-0.000405844170845882</c:v>
                </c:pt>
                <c:pt idx="93">
                  <c:v>-0.000464364667513095</c:v>
                </c:pt>
                <c:pt idx="94">
                  <c:v>-0.00050523942964098</c:v>
                </c:pt>
                <c:pt idx="95">
                  <c:v>-0.00053109958247255</c:v>
                </c:pt>
                <c:pt idx="96">
                  <c:v>-0.00054431655189191</c:v>
                </c:pt>
                <c:pt idx="97">
                  <c:v>-0.000547014472951801</c:v>
                </c:pt>
                <c:pt idx="98">
                  <c:v>-0.000541083997616099</c:v>
                </c:pt>
                <c:pt idx="99">
                  <c:v>-0.000528197039606937</c:v>
                </c:pt>
                <c:pt idx="100">
                  <c:v>-0.000509822065113852</c:v>
                </c:pt>
                <c:pt idx="101">
                  <c:v>-0.000487239601829614</c:v>
                </c:pt>
                <c:pt idx="102">
                  <c:v>-0.000461557695645709</c:v>
                </c:pt>
                <c:pt idx="103">
                  <c:v>-0.000433727094792502</c:v>
                </c:pt>
                <c:pt idx="104">
                  <c:v>-0.000404555985694444</c:v>
                </c:pt>
                <c:pt idx="105">
                  <c:v>-0.000374724143734184</c:v>
                </c:pt>
                <c:pt idx="106">
                  <c:v>-0.000344796395882696</c:v>
                </c:pt>
                <c:pt idx="107">
                  <c:v>-0.000315235321400209</c:v>
                </c:pt>
                <c:pt idx="108">
                  <c:v>-0.00028641314154676</c:v>
                </c:pt>
                <c:pt idx="109">
                  <c:v>-0.00025862277044908</c:v>
                </c:pt>
                <c:pt idx="110">
                  <c:v>-0.000232088016721477</c:v>
                </c:pt>
                <c:pt idx="111">
                  <c:v>-0.000206972940096861</c:v>
                </c:pt>
                <c:pt idx="112">
                  <c:v>-0.00018339037899473</c:v>
                </c:pt>
                <c:pt idx="113">
                  <c:v>-0.000161409674447555</c:v>
                </c:pt>
                <c:pt idx="114">
                  <c:v>-0.00014106362304922</c:v>
                </c:pt>
                <c:pt idx="115">
                  <c:v>-0.000122354697012383</c:v>
                </c:pt>
                <c:pt idx="116">
                  <c:v>-0.000105260573462829</c:v>
                </c:pt>
                <c:pt idx="117">
                  <c:v>-8.97390174419144e-5</c:v>
                </c:pt>
                <c:pt idx="118">
                  <c:v>-7.57321647384401e-5</c:v>
                </c:pt>
                <c:pt idx="119">
                  <c:v>-6.31702509679144e-5</c:v>
                </c:pt>
                <c:pt idx="120">
                  <c:v>-5.19748331235803e-5</c:v>
                </c:pt>
                <c:pt idx="121">
                  <c:v>-4.20615488536669e-5</c:v>
                </c:pt>
                <c:pt idx="122">
                  <c:v>-3.33424572751539e-5</c:v>
                </c:pt>
                <c:pt idx="123">
                  <c:v>-2.57280033455487e-5</c:v>
                </c:pt>
                <c:pt idx="124">
                  <c:v>-1.91286456878714e-5</c:v>
                </c:pt>
                <c:pt idx="125">
                  <c:v>-1.3456185392613e-5</c:v>
                </c:pt>
                <c:pt idx="126">
                  <c:v>-8.62483100405598e-6</c:v>
                </c:pt>
                <c:pt idx="127">
                  <c:v>-4.55203218585609e-6</c:v>
                </c:pt>
                <c:pt idx="128">
                  <c:v>-1.15911221776344e-6</c:v>
                </c:pt>
                <c:pt idx="129">
                  <c:v>1.62827321759096e-6</c:v>
                </c:pt>
                <c:pt idx="130">
                  <c:v>3.87982587568558e-6</c:v>
                </c:pt>
                <c:pt idx="131">
                  <c:v>5.66042072769335e-6</c:v>
                </c:pt>
                <c:pt idx="132">
                  <c:v>7.03002733715152e-6</c:v>
                </c:pt>
                <c:pt idx="133">
                  <c:v>8.04371860141373e-6</c:v>
                </c:pt>
                <c:pt idx="134">
                  <c:v>8.75175068770773e-6</c:v>
                </c:pt>
                <c:pt idx="135">
                  <c:v>9.19969991208802e-6</c:v>
                </c:pt>
                <c:pt idx="136">
                  <c:v>9.42864408060018e-6</c:v>
                </c:pt>
                <c:pt idx="137">
                  <c:v>9.47537743378746e-6</c:v>
                </c:pt>
                <c:pt idx="138">
                  <c:v>9.37264982070474e-6</c:v>
                </c:pt>
                <c:pt idx="139">
                  <c:v>9.14942210350489e-6</c:v>
                </c:pt>
                <c:pt idx="140">
                  <c:v>8.83113103711253e-6</c:v>
                </c:pt>
                <c:pt idx="141">
                  <c:v>8.43995790944518e-6</c:v>
                </c:pt>
                <c:pt idx="142">
                  <c:v>7.99509627391615e-6</c:v>
                </c:pt>
                <c:pt idx="143">
                  <c:v>7.51301497459167e-6</c:v>
                </c:pt>
                <c:pt idx="144">
                  <c:v>7.00771341044515e-6</c:v>
                </c:pt>
                <c:pt idx="145">
                  <c:v>6.49096664062654e-6</c:v>
                </c:pt>
                <c:pt idx="146">
                  <c:v>5.9725585899173e-6</c:v>
                </c:pt>
                <c:pt idx="147">
                  <c:v>5.46050204697224e-6</c:v>
                </c:pt>
                <c:pt idx="148">
                  <c:v>4.96124463289505e-6</c:v>
                </c:pt>
                <c:pt idx="149">
                  <c:v>4.47986019302959e-6</c:v>
                </c:pt>
                <c:pt idx="150">
                  <c:v>4.0202255426891e-6</c:v>
                </c:pt>
                <c:pt idx="151">
                  <c:v>3.58518251886153e-6</c:v>
                </c:pt>
                <c:pt idx="152">
                  <c:v>3.17668570914975e-6</c:v>
                </c:pt>
                <c:pt idx="153">
                  <c:v>2.79593623808694e-6</c:v>
                </c:pt>
                <c:pt idx="154">
                  <c:v>2.44350220413025e-6</c:v>
                </c:pt>
                <c:pt idx="155">
                  <c:v>2.11942643701946e-6</c:v>
                </c:pt>
                <c:pt idx="156">
                  <c:v>1.82332225584503e-6</c:v>
                </c:pt>
                <c:pt idx="157">
                  <c:v>1.55445806804266e-6</c:v>
                </c:pt>
                <c:pt idx="158">
                  <c:v>1.31183155183123e-6</c:v>
                </c:pt>
                <c:pt idx="159">
                  <c:v>1.09423424987654e-6</c:v>
                </c:pt>
                <c:pt idx="160">
                  <c:v>9.00307368212339e-7</c:v>
                </c:pt>
                <c:pt idx="161">
                  <c:v>7.2858959221378e-7</c:v>
                </c:pt>
                <c:pt idx="162">
                  <c:v>5.77557601744161e-7</c:v>
                </c:pt>
                <c:pt idx="163">
                  <c:v>4.45660132797343e-7</c:v>
                </c:pt>
                <c:pt idx="164">
                  <c:v>3.31346145188149e-7</c:v>
                </c:pt>
                <c:pt idx="165">
                  <c:v>2.33087865453285e-7</c:v>
                </c:pt>
                <c:pt idx="166">
                  <c:v>1.49399207671763e-7</c:v>
                </c:pt>
                <c:pt idx="167">
                  <c:v>7.88502418913595e-8</c:v>
                </c:pt>
                <c:pt idx="168">
                  <c:v>2.00781258286042e-8</c:v>
                </c:pt>
                <c:pt idx="169">
                  <c:v>-2.82049263944373e-8</c:v>
                </c:pt>
                <c:pt idx="170">
                  <c:v>-6.72062920870076e-8</c:v>
                </c:pt>
                <c:pt idx="171">
                  <c:v>-9.80497336655617e-8</c:v>
                </c:pt>
                <c:pt idx="172">
                  <c:v>-1.21774039740785e-7</c:v>
                </c:pt>
                <c:pt idx="173">
                  <c:v>-1.39333186766066e-7</c:v>
                </c:pt>
                <c:pt idx="174">
                  <c:v>-1.5159770860862e-7</c:v>
                </c:pt>
                <c:pt idx="175">
                  <c:v>-1.59357080420364e-7</c:v>
                </c:pt>
                <c:pt idx="176">
                  <c:v>-1.63322846802316e-7</c:v>
                </c:pt>
                <c:pt idx="177">
                  <c:v>-1.64132362812097e-7</c:v>
                </c:pt>
                <c:pt idx="178">
                  <c:v>-1.62352916888153e-7</c:v>
                </c:pt>
                <c:pt idx="179">
                  <c:v>-1.58486168189143e-7</c:v>
                </c:pt>
                <c:pt idx="180">
                  <c:v>-1.52972734923651e-7</c:v>
                </c:pt>
                <c:pt idx="181">
                  <c:v>-1.46196839523327e-7</c:v>
                </c:pt>
                <c:pt idx="182">
                  <c:v>-1.3849095203966e-7</c:v>
                </c:pt>
                <c:pt idx="183">
                  <c:v>-1.30140344722918e-7</c:v>
                </c:pt>
                <c:pt idx="184">
                  <c:v>-1.21387518703386e-7</c:v>
                </c:pt>
                <c:pt idx="185">
                  <c:v>-1.1243643882608e-7</c:v>
                </c:pt>
                <c:pt idx="186">
                  <c:v>-1.03456581967976e-7</c:v>
                </c:pt>
                <c:pt idx="187">
                  <c:v>-9.45867455470761e-8</c:v>
                </c:pt>
                <c:pt idx="188">
                  <c:v>-8.59386126705886e-8</c:v>
                </c:pt>
                <c:pt idx="189">
                  <c:v>-7.76000792512832e-8</c:v>
                </c:pt>
                <c:pt idx="190">
                  <c:v>-6.96382933540463e-8</c:v>
                </c:pt>
                <c:pt idx="191">
                  <c:v>-6.2102483155968e-8</c:v>
                </c:pt>
                <c:pt idx="192">
                  <c:v>-5.50265077947643e-8</c:v>
                </c:pt>
                <c:pt idx="193">
                  <c:v>-4.84311719617381e-8</c:v>
                </c:pt>
                <c:pt idx="194">
                  <c:v>-4.23263113447092e-8</c:v>
                </c:pt>
                <c:pt idx="195">
                  <c:v>-3.67126755662639e-8</c:v>
                </c:pt>
                <c:pt idx="196">
                  <c:v>-3.15835659847608e-8</c:v>
                </c:pt>
                <c:pt idx="197">
                  <c:v>-2.69263029650801e-8</c:v>
                </c:pt>
                <c:pt idx="198">
                  <c:v>-2.27235279481874e-8</c:v>
                </c:pt>
                <c:pt idx="199">
                  <c:v>-1.89543118978008e-8</c:v>
                </c:pt>
                <c:pt idx="200">
                  <c:v>-1.55951127567278e-8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 cap="rnd" cmpd="sng" algn="ctr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spc="-1" baseline="0">
                    <a:solidFill>
                      <a:schemeClr val="tx1"/>
                    </a:solidFill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 c:formatCode="0.000000">
                  <c:v>0</c:v>
                </c:pt>
                <c:pt idx="1" c:formatCode="0.000000">
                  <c:v>0.000405577867597361</c:v>
                </c:pt>
                <c:pt idx="2" c:formatCode="0.000000">
                  <c:v>0.000811155735194723</c:v>
                </c:pt>
                <c:pt idx="3" c:formatCode="0.000000">
                  <c:v>0.00121673360279208</c:v>
                </c:pt>
                <c:pt idx="4" c:formatCode="0.000000">
                  <c:v>0.00162231147038945</c:v>
                </c:pt>
                <c:pt idx="5" c:formatCode="0.000000">
                  <c:v>0.00202788933798681</c:v>
                </c:pt>
                <c:pt idx="6" c:formatCode="0.000000">
                  <c:v>0.00243346720558417</c:v>
                </c:pt>
                <c:pt idx="7" c:formatCode="0.000000">
                  <c:v>0.00283904507318153</c:v>
                </c:pt>
                <c:pt idx="8" c:formatCode="0.000000">
                  <c:v>0.00324462294077889</c:v>
                </c:pt>
                <c:pt idx="9" c:formatCode="0.000000">
                  <c:v>0.00365020080837625</c:v>
                </c:pt>
                <c:pt idx="10" c:formatCode="0.000000">
                  <c:v>0.00405577867597361</c:v>
                </c:pt>
                <c:pt idx="11" c:formatCode="0.000000">
                  <c:v>0.00446135654357097</c:v>
                </c:pt>
                <c:pt idx="12" c:formatCode="0.000000">
                  <c:v>0.00486693441116834</c:v>
                </c:pt>
                <c:pt idx="13" c:formatCode="0.000000">
                  <c:v>0.0052725122787657</c:v>
                </c:pt>
                <c:pt idx="14" c:formatCode="0.000000">
                  <c:v>0.00567809014636306</c:v>
                </c:pt>
                <c:pt idx="15" c:formatCode="0.000000">
                  <c:v>0.00608366801396042</c:v>
                </c:pt>
                <c:pt idx="16" c:formatCode="0.000000">
                  <c:v>0.00648924588155778</c:v>
                </c:pt>
                <c:pt idx="17" c:formatCode="0.000000">
                  <c:v>0.00689482374915514</c:v>
                </c:pt>
                <c:pt idx="18" c:formatCode="0.000000">
                  <c:v>0.0073004016167525</c:v>
                </c:pt>
                <c:pt idx="19" c:formatCode="0.000000">
                  <c:v>0.00770597948434986</c:v>
                </c:pt>
                <c:pt idx="20" c:formatCode="0.000000">
                  <c:v>0.00811155735194722</c:v>
                </c:pt>
                <c:pt idx="21" c:formatCode="0.000000">
                  <c:v>0.00851713521954458</c:v>
                </c:pt>
                <c:pt idx="22" c:formatCode="0.000000">
                  <c:v>0.00892271308714195</c:v>
                </c:pt>
                <c:pt idx="23" c:formatCode="0.000000">
                  <c:v>0.00932829095473931</c:v>
                </c:pt>
                <c:pt idx="24" c:formatCode="0.000000">
                  <c:v>0.00973386882233667</c:v>
                </c:pt>
                <c:pt idx="25" c:formatCode="0.000000">
                  <c:v>0.010139446689934</c:v>
                </c:pt>
                <c:pt idx="26" c:formatCode="0.000000">
                  <c:v>0.0105450245575314</c:v>
                </c:pt>
                <c:pt idx="27" c:formatCode="0.000000">
                  <c:v>0.0109506024251288</c:v>
                </c:pt>
                <c:pt idx="28" c:formatCode="0.000000">
                  <c:v>0.0113561802927261</c:v>
                </c:pt>
                <c:pt idx="29" c:formatCode="0.000000">
                  <c:v>0.0117617581603235</c:v>
                </c:pt>
                <c:pt idx="30" c:formatCode="0.000000">
                  <c:v>0.0121673360279208</c:v>
                </c:pt>
                <c:pt idx="31" c:formatCode="0.000000">
                  <c:v>0.0125729138955182</c:v>
                </c:pt>
                <c:pt idx="32" c:formatCode="0.000000">
                  <c:v>0.0129784917631156</c:v>
                </c:pt>
                <c:pt idx="33" c:formatCode="0.000000">
                  <c:v>0.0133840696307129</c:v>
                </c:pt>
                <c:pt idx="34" c:formatCode="0.000000">
                  <c:v>0.0137896474983103</c:v>
                </c:pt>
                <c:pt idx="35" c:formatCode="0.000000">
                  <c:v>0.0141952253659076</c:v>
                </c:pt>
                <c:pt idx="36" c:formatCode="0.000000">
                  <c:v>0.014600803233505</c:v>
                </c:pt>
                <c:pt idx="37" c:formatCode="0.000000">
                  <c:v>0.0150063811011024</c:v>
                </c:pt>
                <c:pt idx="38" c:formatCode="0.000000">
                  <c:v>0.0154119589686997</c:v>
                </c:pt>
                <c:pt idx="39" c:formatCode="0.000000">
                  <c:v>0.0158175368362971</c:v>
                </c:pt>
                <c:pt idx="40" c:formatCode="0.000000">
                  <c:v>0.0162231147038944</c:v>
                </c:pt>
                <c:pt idx="41" c:formatCode="0.000000">
                  <c:v>0.0166286925714918</c:v>
                </c:pt>
                <c:pt idx="42" c:formatCode="0.000000">
                  <c:v>0.0170342704390892</c:v>
                </c:pt>
                <c:pt idx="43" c:formatCode="0.000000">
                  <c:v>0.0174398483066865</c:v>
                </c:pt>
                <c:pt idx="44" c:formatCode="0.000000">
                  <c:v>0.0178454261742839</c:v>
                </c:pt>
                <c:pt idx="45" c:formatCode="0.000000">
                  <c:v>0.0182510040418813</c:v>
                </c:pt>
                <c:pt idx="46" c:formatCode="0.000000">
                  <c:v>0.0186565819094786</c:v>
                </c:pt>
                <c:pt idx="47" c:formatCode="0.000000">
                  <c:v>0.019062159777076</c:v>
                </c:pt>
                <c:pt idx="48" c:formatCode="0.000000">
                  <c:v>0.0194677376446733</c:v>
                </c:pt>
                <c:pt idx="49" c:formatCode="0.000000">
                  <c:v>0.0198733155122707</c:v>
                </c:pt>
                <c:pt idx="50" c:formatCode="0.000000">
                  <c:v>0.0202788933798681</c:v>
                </c:pt>
                <c:pt idx="51" c:formatCode="0.000000">
                  <c:v>0.0206844712474654</c:v>
                </c:pt>
                <c:pt idx="52" c:formatCode="0.000000">
                  <c:v>0.0210900491150628</c:v>
                </c:pt>
                <c:pt idx="53" c:formatCode="0.000000">
                  <c:v>0.0214956269826602</c:v>
                </c:pt>
                <c:pt idx="54" c:formatCode="0.000000">
                  <c:v>0.0219012048502575</c:v>
                </c:pt>
                <c:pt idx="55" c:formatCode="0.000000">
                  <c:v>0.0223067827178549</c:v>
                </c:pt>
                <c:pt idx="56" c:formatCode="0.000000">
                  <c:v>0.0227123605854523</c:v>
                </c:pt>
                <c:pt idx="57" c:formatCode="0.000000">
                  <c:v>0.0231179384530496</c:v>
                </c:pt>
                <c:pt idx="58" c:formatCode="0.000000">
                  <c:v>0.023523516320647</c:v>
                </c:pt>
                <c:pt idx="59" c:formatCode="0.000000">
                  <c:v>0.0239290941882443</c:v>
                </c:pt>
                <c:pt idx="60" c:formatCode="0.000000">
                  <c:v>0.0243346720558417</c:v>
                </c:pt>
                <c:pt idx="61" c:formatCode="0.000000">
                  <c:v>0.0247402499234391</c:v>
                </c:pt>
                <c:pt idx="62" c:formatCode="0.000000">
                  <c:v>0.0251458277910364</c:v>
                </c:pt>
                <c:pt idx="63" c:formatCode="0.000000">
                  <c:v>0.0255514056586338</c:v>
                </c:pt>
                <c:pt idx="64" c:formatCode="0.000000">
                  <c:v>0.0259569835262312</c:v>
                </c:pt>
                <c:pt idx="65" c:formatCode="0.000000">
                  <c:v>0.0263625613938285</c:v>
                </c:pt>
                <c:pt idx="66" c:formatCode="0.000000">
                  <c:v>0.0267681392614259</c:v>
                </c:pt>
                <c:pt idx="67" c:formatCode="0.000000">
                  <c:v>0.0271737171290232</c:v>
                </c:pt>
                <c:pt idx="68" c:formatCode="0.000000">
                  <c:v>0.0275792949966206</c:v>
                </c:pt>
                <c:pt idx="69" c:formatCode="0.000000">
                  <c:v>0.027984872864218</c:v>
                </c:pt>
                <c:pt idx="70" c:formatCode="0.000000">
                  <c:v>0.0283904507318153</c:v>
                </c:pt>
                <c:pt idx="71" c:formatCode="0.000000">
                  <c:v>0.0287960285994127</c:v>
                </c:pt>
                <c:pt idx="72" c:formatCode="0.000000">
                  <c:v>0.0292016064670101</c:v>
                </c:pt>
                <c:pt idx="73" c:formatCode="0.000000">
                  <c:v>0.0296071843346074</c:v>
                </c:pt>
                <c:pt idx="74" c:formatCode="0.000000">
                  <c:v>0.0300127622022048</c:v>
                </c:pt>
                <c:pt idx="75" c:formatCode="0.000000">
                  <c:v>0.0304183400698021</c:v>
                </c:pt>
                <c:pt idx="76" c:formatCode="0.000000">
                  <c:v>0.0308239179373995</c:v>
                </c:pt>
                <c:pt idx="77" c:formatCode="0.000000">
                  <c:v>0.0312294958049969</c:v>
                </c:pt>
                <c:pt idx="78" c:formatCode="0.000000">
                  <c:v>0.0316350736725942</c:v>
                </c:pt>
                <c:pt idx="79" c:formatCode="0.000000">
                  <c:v>0.0320406515401916</c:v>
                </c:pt>
                <c:pt idx="80" c:formatCode="0.000000">
                  <c:v>0.0324462294077889</c:v>
                </c:pt>
                <c:pt idx="81" c:formatCode="0.000000">
                  <c:v>0.0328518072753863</c:v>
                </c:pt>
                <c:pt idx="82" c:formatCode="0.000000">
                  <c:v>0.0332573851429837</c:v>
                </c:pt>
                <c:pt idx="83" c:formatCode="0.000000">
                  <c:v>0.033662963010581</c:v>
                </c:pt>
                <c:pt idx="84" c:formatCode="0.000000">
                  <c:v>0.0340685408781784</c:v>
                </c:pt>
                <c:pt idx="85" c:formatCode="0.000000">
                  <c:v>0.0344741187457757</c:v>
                </c:pt>
                <c:pt idx="86" c:formatCode="0.000000">
                  <c:v>0.0348796966133731</c:v>
                </c:pt>
                <c:pt idx="87" c:formatCode="0.000000">
                  <c:v>0.0352852744809705</c:v>
                </c:pt>
                <c:pt idx="88" c:formatCode="0.000000">
                  <c:v>0.0356908523485678</c:v>
                </c:pt>
                <c:pt idx="89" c:formatCode="0.000000">
                  <c:v>0.0360964302161652</c:v>
                </c:pt>
                <c:pt idx="90" c:formatCode="0.000000">
                  <c:v>0.0365020080837625</c:v>
                </c:pt>
                <c:pt idx="91" c:formatCode="0.000000">
                  <c:v>0.0369075859513599</c:v>
                </c:pt>
                <c:pt idx="92" c:formatCode="0.000000">
                  <c:v>0.0373131638189573</c:v>
                </c:pt>
                <c:pt idx="93" c:formatCode="0.000000">
                  <c:v>0.0377187416865546</c:v>
                </c:pt>
                <c:pt idx="94" c:formatCode="0.000000">
                  <c:v>0.038124319554152</c:v>
                </c:pt>
                <c:pt idx="95" c:formatCode="0.000000">
                  <c:v>0.0385298974217493</c:v>
                </c:pt>
                <c:pt idx="96" c:formatCode="0.000000">
                  <c:v>0.0389354752893467</c:v>
                </c:pt>
                <c:pt idx="97" c:formatCode="0.000000">
                  <c:v>0.0393410531569441</c:v>
                </c:pt>
                <c:pt idx="98" c:formatCode="0.000000">
                  <c:v>0.0397466310245414</c:v>
                </c:pt>
                <c:pt idx="99" c:formatCode="0.000000">
                  <c:v>0.0401522088921388</c:v>
                </c:pt>
                <c:pt idx="100" c:formatCode="0.000000">
                  <c:v>0.0405577867597361</c:v>
                </c:pt>
                <c:pt idx="101" c:formatCode="0.000000">
                  <c:v>0.0409633646273335</c:v>
                </c:pt>
                <c:pt idx="102" c:formatCode="0.000000">
                  <c:v>0.0413689424949309</c:v>
                </c:pt>
                <c:pt idx="103" c:formatCode="0.000000">
                  <c:v>0.0417745203625282</c:v>
                </c:pt>
                <c:pt idx="104" c:formatCode="0.000000">
                  <c:v>0.0421800982301256</c:v>
                </c:pt>
                <c:pt idx="105" c:formatCode="0.000000">
                  <c:v>0.0425856760977229</c:v>
                </c:pt>
                <c:pt idx="106" c:formatCode="0.000000">
                  <c:v>0.0429912539653203</c:v>
                </c:pt>
                <c:pt idx="107" c:formatCode="0.000000">
                  <c:v>0.0433968318329176</c:v>
                </c:pt>
                <c:pt idx="108" c:formatCode="0.000000">
                  <c:v>0.043802409700515</c:v>
                </c:pt>
                <c:pt idx="109" c:formatCode="0.000000">
                  <c:v>0.0442079875681124</c:v>
                </c:pt>
                <c:pt idx="110" c:formatCode="0.000000">
                  <c:v>0.0446135654357097</c:v>
                </c:pt>
                <c:pt idx="111" c:formatCode="0.000000">
                  <c:v>0.0450191433033071</c:v>
                </c:pt>
                <c:pt idx="112" c:formatCode="0.000000">
                  <c:v>0.0454247211709044</c:v>
                </c:pt>
                <c:pt idx="113" c:formatCode="0.000000">
                  <c:v>0.0458302990385018</c:v>
                </c:pt>
                <c:pt idx="114" c:formatCode="0.000000">
                  <c:v>0.0462358769060992</c:v>
                </c:pt>
                <c:pt idx="115" c:formatCode="0.000000">
                  <c:v>0.0466414547736965</c:v>
                </c:pt>
                <c:pt idx="116" c:formatCode="0.000000">
                  <c:v>0.0470470326412939</c:v>
                </c:pt>
                <c:pt idx="117" c:formatCode="0.000000">
                  <c:v>0.0474526105088912</c:v>
                </c:pt>
                <c:pt idx="118" c:formatCode="0.000000">
                  <c:v>0.0478581883764886</c:v>
                </c:pt>
                <c:pt idx="119" c:formatCode="0.000000">
                  <c:v>0.048263766244086</c:v>
                </c:pt>
                <c:pt idx="120" c:formatCode="0.000000">
                  <c:v>0.0486693441116833</c:v>
                </c:pt>
                <c:pt idx="121" c:formatCode="0.000000">
                  <c:v>0.0490749219792807</c:v>
                </c:pt>
                <c:pt idx="122" c:formatCode="0.000000">
                  <c:v>0.049480499846878</c:v>
                </c:pt>
                <c:pt idx="123" c:formatCode="0.000000">
                  <c:v>0.0498860777144754</c:v>
                </c:pt>
                <c:pt idx="124" c:formatCode="0.000000">
                  <c:v>0.0502916555820728</c:v>
                </c:pt>
                <c:pt idx="125" c:formatCode="0.000000">
                  <c:v>0.0506972334496701</c:v>
                </c:pt>
                <c:pt idx="126" c:formatCode="0.000000">
                  <c:v>0.0511028113172675</c:v>
                </c:pt>
                <c:pt idx="127" c:formatCode="0.000000">
                  <c:v>0.0515083891848648</c:v>
                </c:pt>
                <c:pt idx="128" c:formatCode="0.000000">
                  <c:v>0.0519139670524622</c:v>
                </c:pt>
                <c:pt idx="129" c:formatCode="0.000000">
                  <c:v>0.0523195449200596</c:v>
                </c:pt>
                <c:pt idx="130" c:formatCode="0.000000">
                  <c:v>0.0527251227876569</c:v>
                </c:pt>
                <c:pt idx="131" c:formatCode="0.000000">
                  <c:v>0.0531307006552543</c:v>
                </c:pt>
                <c:pt idx="132" c:formatCode="0.000000">
                  <c:v>0.0535362785228516</c:v>
                </c:pt>
                <c:pt idx="133" c:formatCode="0.000000">
                  <c:v>0.053941856390449</c:v>
                </c:pt>
                <c:pt idx="134" c:formatCode="0.000000">
                  <c:v>0.0543474342580463</c:v>
                </c:pt>
                <c:pt idx="135" c:formatCode="0.000000">
                  <c:v>0.0547530121256437</c:v>
                </c:pt>
                <c:pt idx="136" c:formatCode="0.000000">
                  <c:v>0.0551585899932411</c:v>
                </c:pt>
                <c:pt idx="137" c:formatCode="0.000000">
                  <c:v>0.0555641678608384</c:v>
                </c:pt>
                <c:pt idx="138" c:formatCode="0.000000">
                  <c:v>0.0559697457284358</c:v>
                </c:pt>
                <c:pt idx="139" c:formatCode="0.000000">
                  <c:v>0.0563753235960331</c:v>
                </c:pt>
                <c:pt idx="140" c:formatCode="0.000000">
                  <c:v>0.0567809014636305</c:v>
                </c:pt>
                <c:pt idx="141" c:formatCode="0.000000">
                  <c:v>0.0571864793312279</c:v>
                </c:pt>
                <c:pt idx="142" c:formatCode="0.000000">
                  <c:v>0.0575920571988252</c:v>
                </c:pt>
                <c:pt idx="143" c:formatCode="0.000000">
                  <c:v>0.0579976350664226</c:v>
                </c:pt>
                <c:pt idx="144" c:formatCode="0.000000">
                  <c:v>0.0584032129340199</c:v>
                </c:pt>
                <c:pt idx="145" c:formatCode="0.000000">
                  <c:v>0.0588087908016173</c:v>
                </c:pt>
                <c:pt idx="146" c:formatCode="0.000000">
                  <c:v>0.0592143686692147</c:v>
                </c:pt>
                <c:pt idx="147" c:formatCode="0.000000">
                  <c:v>0.059619946536812</c:v>
                </c:pt>
                <c:pt idx="148" c:formatCode="0.000000">
                  <c:v>0.0600255244044094</c:v>
                </c:pt>
                <c:pt idx="149" c:formatCode="0.000000">
                  <c:v>0.0604311022720067</c:v>
                </c:pt>
                <c:pt idx="150" c:formatCode="0.000000">
                  <c:v>0.0608366801396041</c:v>
                </c:pt>
                <c:pt idx="151" c:formatCode="0.000000">
                  <c:v>0.0612422580072015</c:v>
                </c:pt>
                <c:pt idx="152" c:formatCode="0.000000">
                  <c:v>0.0616478358747988</c:v>
                </c:pt>
                <c:pt idx="153" c:formatCode="0.000000">
                  <c:v>0.0620534137423962</c:v>
                </c:pt>
                <c:pt idx="154" c:formatCode="0.000000">
                  <c:v>0.0624589916099935</c:v>
                </c:pt>
                <c:pt idx="155" c:formatCode="0.000000">
                  <c:v>0.0628645694775909</c:v>
                </c:pt>
                <c:pt idx="156" c:formatCode="0.000000">
                  <c:v>0.0632701473451883</c:v>
                </c:pt>
                <c:pt idx="157" c:formatCode="0.000000">
                  <c:v>0.0636757252127856</c:v>
                </c:pt>
                <c:pt idx="158" c:formatCode="0.000000">
                  <c:v>0.064081303080383</c:v>
                </c:pt>
                <c:pt idx="159" c:formatCode="0.000000">
                  <c:v>0.0644868809479803</c:v>
                </c:pt>
                <c:pt idx="160" c:formatCode="0.000000">
                  <c:v>0.0648924588155777</c:v>
                </c:pt>
                <c:pt idx="161" c:formatCode="0.000000">
                  <c:v>0.065298036683175</c:v>
                </c:pt>
                <c:pt idx="162" c:formatCode="0.000000">
                  <c:v>0.0657036145507724</c:v>
                </c:pt>
                <c:pt idx="163" c:formatCode="0.000000">
                  <c:v>0.0661091924183698</c:v>
                </c:pt>
                <c:pt idx="164" c:formatCode="0.000000">
                  <c:v>0.0665147702859671</c:v>
                </c:pt>
                <c:pt idx="165" c:formatCode="0.000000">
                  <c:v>0.0669203481535645</c:v>
                </c:pt>
                <c:pt idx="166" c:formatCode="0.000000">
                  <c:v>0.0673259260211618</c:v>
                </c:pt>
                <c:pt idx="167" c:formatCode="0.000000">
                  <c:v>0.0677315038887592</c:v>
                </c:pt>
                <c:pt idx="168" c:formatCode="0.000000">
                  <c:v>0.0681370817563566</c:v>
                </c:pt>
                <c:pt idx="169" c:formatCode="0.000000">
                  <c:v>0.0685426596239539</c:v>
                </c:pt>
                <c:pt idx="170" c:formatCode="0.000000">
                  <c:v>0.0689482374915513</c:v>
                </c:pt>
                <c:pt idx="171" c:formatCode="0.000000">
                  <c:v>0.0693538153591486</c:v>
                </c:pt>
                <c:pt idx="172" c:formatCode="0.000000">
                  <c:v>0.069759393226746</c:v>
                </c:pt>
                <c:pt idx="173" c:formatCode="0.000000">
                  <c:v>0.0701649710943434</c:v>
                </c:pt>
                <c:pt idx="174" c:formatCode="0.000000">
                  <c:v>0.0705705489619407</c:v>
                </c:pt>
                <c:pt idx="175" c:formatCode="0.000000">
                  <c:v>0.0709761268295381</c:v>
                </c:pt>
                <c:pt idx="176" c:formatCode="0.000000">
                  <c:v>0.0713817046971354</c:v>
                </c:pt>
                <c:pt idx="177" c:formatCode="0.000000">
                  <c:v>0.0717872825647328</c:v>
                </c:pt>
                <c:pt idx="178" c:formatCode="0.000000">
                  <c:v>0.0721928604323302</c:v>
                </c:pt>
                <c:pt idx="179" c:formatCode="0.000000">
                  <c:v>0.0725984382999275</c:v>
                </c:pt>
                <c:pt idx="180" c:formatCode="0.000000">
                  <c:v>0.0730040161675249</c:v>
                </c:pt>
                <c:pt idx="181" c:formatCode="0.000000">
                  <c:v>0.0734095940351222</c:v>
                </c:pt>
                <c:pt idx="182" c:formatCode="0.000000">
                  <c:v>0.0738151719027196</c:v>
                </c:pt>
                <c:pt idx="183" c:formatCode="0.000000">
                  <c:v>0.074220749770317</c:v>
                </c:pt>
                <c:pt idx="184" c:formatCode="0.000000">
                  <c:v>0.0746263276379143</c:v>
                </c:pt>
                <c:pt idx="185" c:formatCode="0.000000">
                  <c:v>0.0750319055055117</c:v>
                </c:pt>
                <c:pt idx="186" c:formatCode="0.000000">
                  <c:v>0.075437483373109</c:v>
                </c:pt>
                <c:pt idx="187" c:formatCode="0.000000">
                  <c:v>0.0758430612407064</c:v>
                </c:pt>
                <c:pt idx="188" c:formatCode="0.000000">
                  <c:v>0.0762486391083037</c:v>
                </c:pt>
                <c:pt idx="189" c:formatCode="0.000000">
                  <c:v>0.0766542169759011</c:v>
                </c:pt>
                <c:pt idx="190" c:formatCode="0.000000">
                  <c:v>0.0770597948434985</c:v>
                </c:pt>
                <c:pt idx="191" c:formatCode="0.000000">
                  <c:v>0.0774653727110958</c:v>
                </c:pt>
                <c:pt idx="192" c:formatCode="0.000000">
                  <c:v>0.0778709505786932</c:v>
                </c:pt>
                <c:pt idx="193" c:formatCode="0.000000">
                  <c:v>0.0782765284462905</c:v>
                </c:pt>
                <c:pt idx="194" c:formatCode="0.000000">
                  <c:v>0.0786821063138879</c:v>
                </c:pt>
                <c:pt idx="195" c:formatCode="0.000000">
                  <c:v>0.0790876841814853</c:v>
                </c:pt>
                <c:pt idx="196" c:formatCode="0.000000">
                  <c:v>0.0794932620490826</c:v>
                </c:pt>
                <c:pt idx="197" c:formatCode="0.000000">
                  <c:v>0.07989883991668</c:v>
                </c:pt>
                <c:pt idx="198" c:formatCode="0.000000">
                  <c:v>0.0803044177842773</c:v>
                </c:pt>
                <c:pt idx="199" c:formatCode="0.000000">
                  <c:v>0.0807099956518747</c:v>
                </c:pt>
                <c:pt idx="200" c:formatCode="0.000000">
                  <c:v>0.0811155735194721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0</c:v>
                </c:pt>
                <c:pt idx="1">
                  <c:v>0.076853942164411</c:v>
                </c:pt>
                <c:pt idx="2">
                  <c:v>0.287142045783276</c:v>
                </c:pt>
                <c:pt idx="3">
                  <c:v>0.603245909708298</c:v>
                </c:pt>
                <c:pt idx="4">
                  <c:v>1.00104317099879</c:v>
                </c:pt>
                <c:pt idx="5">
                  <c:v>1.45962446840031</c:v>
                </c:pt>
                <c:pt idx="6">
                  <c:v>1.96101458503593</c:v>
                </c:pt>
                <c:pt idx="7">
                  <c:v>2.48990114936193</c:v>
                </c:pt>
                <c:pt idx="8">
                  <c:v>3.03337354083771</c:v>
                </c:pt>
                <c:pt idx="9">
                  <c:v>3.58067400927814</c:v>
                </c:pt>
                <c:pt idx="10">
                  <c:v>4.12296246651453</c:v>
                </c:pt>
                <c:pt idx="11">
                  <c:v>4.65309593797596</c:v>
                </c:pt>
                <c:pt idx="12">
                  <c:v>5.16542326255817</c:v>
                </c:pt>
                <c:pt idx="13">
                  <c:v>5.65559529443661</c:v>
                </c:pt>
                <c:pt idx="14">
                  <c:v>6.12039058343311</c:v>
                </c:pt>
                <c:pt idx="15">
                  <c:v>6.55755628469898</c:v>
                </c:pt>
                <c:pt idx="16">
                  <c:v>6.96566386779001</c:v>
                </c:pt>
                <c:pt idx="17">
                  <c:v>7.34397905407877</c:v>
                </c:pt>
                <c:pt idx="18">
                  <c:v>7.69234530471502</c:v>
                </c:pt>
                <c:pt idx="19">
                  <c:v>8.0110801042785</c:v>
                </c:pt>
                <c:pt idx="20">
                  <c:v>8.30088323357116</c:v>
                </c:pt>
                <c:pt idx="21">
                  <c:v>8.56275619477979</c:v>
                </c:pt>
                <c:pt idx="22">
                  <c:v>8.79793194001124</c:v>
                </c:pt>
                <c:pt idx="23">
                  <c:v>9.00781405684141</c:v>
                </c:pt>
                <c:pt idx="24">
                  <c:v>9.19392457925819</c:v>
                </c:pt>
                <c:pt idx="25">
                  <c:v>9.35785961677613</c:v>
                </c:pt>
                <c:pt idx="26">
                  <c:v>9.50125202642315</c:v>
                </c:pt>
                <c:pt idx="27">
                  <c:v>9.62574038988919</c:v>
                </c:pt>
                <c:pt idx="28">
                  <c:v>9.73294359978603</c:v>
                </c:pt>
                <c:pt idx="29">
                  <c:v>9.82444040332908</c:v>
                </c:pt>
                <c:pt idx="30">
                  <c:v>9.90175329766024</c:v>
                </c:pt>
                <c:pt idx="31">
                  <c:v>9.96633621752048</c:v>
                </c:pt>
                <c:pt idx="32">
                  <c:v>10.019565502252</c:v>
                </c:pt>
                <c:pt idx="33">
                  <c:v>10.0627336745167</c:v>
                </c:pt>
                <c:pt idx="34">
                  <c:v>10.0970456071417</c:v>
                </c:pt>
                <c:pt idx="35">
                  <c:v>10.1236166967459</c:v>
                </c:pt>
                <c:pt idx="36">
                  <c:v>10.143472702958</c:v>
                </c:pt>
                <c:pt idx="37">
                  <c:v>10.1575509498991</c:v>
                </c:pt>
                <c:pt idx="38">
                  <c:v>10.1667026220226</c:v>
                </c:pt>
                <c:pt idx="39">
                  <c:v>10.1716959193073</c:v>
                </c:pt>
                <c:pt idx="40">
                  <c:v>10.1732198671576</c:v>
                </c:pt>
                <c:pt idx="41">
                  <c:v>10.1718886041924</c:v>
                </c:pt>
                <c:pt idx="42">
                  <c:v>10.168245996455</c:v>
                </c:pt>
                <c:pt idx="43">
                  <c:v>10.1627704495233</c:v>
                </c:pt>
                <c:pt idx="44">
                  <c:v>10.1558798106476</c:v>
                </c:pt>
                <c:pt idx="45">
                  <c:v>10.147936271506</c:v>
                </c:pt>
                <c:pt idx="46">
                  <c:v>10.1392511985662</c:v>
                </c:pt>
                <c:pt idx="47">
                  <c:v>10.1300898325248</c:v>
                </c:pt>
                <c:pt idx="48">
                  <c:v>10.1206758109793</c:v>
                </c:pt>
                <c:pt idx="49">
                  <c:v>10.1111954795354</c:v>
                </c:pt>
                <c:pt idx="50">
                  <c:v>10.101801966083</c:v>
                </c:pt>
                <c:pt idx="51">
                  <c:v>10.0926190011328</c:v>
                </c:pt>
                <c:pt idx="52">
                  <c:v>10.0837444740223</c:v>
                </c:pt>
                <c:pt idx="53">
                  <c:v>10.0752537205976</c:v>
                </c:pt>
                <c:pt idx="54">
                  <c:v>10.0672025427761</c:v>
                </c:pt>
                <c:pt idx="55">
                  <c:v>10.0596299643062</c:v>
                </c:pt>
                <c:pt idx="56">
                  <c:v>10.0525607301733</c:v>
                </c:pt>
                <c:pt idx="57">
                  <c:v>10.046007559542</c:v>
                </c:pt>
                <c:pt idx="58">
                  <c:v>10.0399731639763</c:v>
                </c:pt>
                <c:pt idx="59">
                  <c:v>10.0344520440124</c:v>
                </c:pt>
                <c:pt idx="60">
                  <c:v>10.0294320780566</c:v>
                </c:pt>
                <c:pt idx="61">
                  <c:v>10.0248959181013</c:v>
                </c:pt>
                <c:pt idx="62">
                  <c:v>10.0208222069666</c:v>
                </c:pt>
                <c:pt idx="63">
                  <c:v>10.017186631727</c:v>
                </c:pt>
                <c:pt idx="64">
                  <c:v>10.01396282773</c:v>
                </c:pt>
                <c:pt idx="65">
                  <c:v>10.0111231471879</c:v>
                </c:pt>
                <c:pt idx="66">
                  <c:v>10.0086393057728</c:v>
                </c:pt>
                <c:pt idx="67">
                  <c:v>10.0064829199946</c:v>
                </c:pt>
                <c:pt idx="68">
                  <c:v>10.0046259474169</c:v>
                </c:pt>
                <c:pt idx="69">
                  <c:v>10.0030410410014</c:v>
                </c:pt>
                <c:pt idx="70">
                  <c:v>10.0017018280728</c:v>
                </c:pt>
                <c:pt idx="71">
                  <c:v>10.0005831235929</c:v>
                </c:pt>
                <c:pt idx="72">
                  <c:v>9.9996610866299</c:v>
                </c:pt>
                <c:pt idx="73">
                  <c:v>9.99891332812339</c:v>
                </c:pt>
                <c:pt idx="74">
                  <c:v>9.99831897728227</c:v>
                </c:pt>
                <c:pt idx="75">
                  <c:v>9.99785871322112</c:v>
                </c:pt>
                <c:pt idx="76">
                  <c:v>9.99751476774529</c:v>
                </c:pt>
                <c:pt idx="77">
                  <c:v>9.99727090453879</c:v>
                </c:pt>
                <c:pt idx="78">
                  <c:v>9.99711237939584</c:v>
                </c:pt>
                <c:pt idx="79">
                  <c:v>9.99702588556661</c:v>
                </c:pt>
                <c:pt idx="80">
                  <c:v>9.99699948776219</c:v>
                </c:pt>
                <c:pt idx="81">
                  <c:v>9.99702254788159</c:v>
                </c:pt>
                <c:pt idx="82">
                  <c:v>9.99708564508443</c:v>
                </c:pt>
                <c:pt idx="83">
                  <c:v>9.99718049243564</c:v>
                </c:pt>
                <c:pt idx="84">
                  <c:v>9.99729985199071</c:v>
                </c:pt>
                <c:pt idx="85">
                  <c:v>9.9974374498702</c:v>
                </c:pt>
                <c:pt idx="86">
                  <c:v>9.99758789258828</c:v>
                </c:pt>
                <c:pt idx="87">
                  <c:v>9.99774658564915</c:v>
                </c:pt>
                <c:pt idx="88">
                  <c:v>9.9979096552053</c:v>
                </c:pt>
                <c:pt idx="89">
                  <c:v>9.99807387338064</c:v>
                </c:pt>
                <c:pt idx="90">
                  <c:v>9.99823658769587</c:v>
                </c:pt>
                <c:pt idx="91">
                  <c:v>9.99839565489275</c:v>
                </c:pt>
                <c:pt idx="92">
                  <c:v>9.99854937933347</c:v>
                </c:pt>
                <c:pt idx="93">
                  <c:v>9.9986964560515</c:v>
                </c:pt>
                <c:pt idx="94">
                  <c:v>9.99883591844677</c:v>
                </c:pt>
                <c:pt idx="95">
                  <c:v>9.99896709055043</c:v>
                </c:pt>
                <c:pt idx="96">
                  <c:v>9.99908954373017</c:v>
                </c:pt>
                <c:pt idx="97">
                  <c:v>9.99920305766479</c:v>
                </c:pt>
                <c:pt idx="98">
                  <c:v>9.99930758538462</c:v>
                </c:pt>
                <c:pt idx="99">
                  <c:v>9.99940322215129</c:v>
                </c:pt>
                <c:pt idx="100">
                  <c:v>9.99949017793489</c:v>
                </c:pt>
                <c:pt idx="101">
                  <c:v>9.99956875323737</c:v>
                </c:pt>
                <c:pt idx="102">
                  <c:v>9.99963931800753</c:v>
                </c:pt>
                <c:pt idx="103">
                  <c:v>9.99970229339354</c:v>
                </c:pt>
                <c:pt idx="104">
                  <c:v>9.99975813608355</c:v>
                </c:pt>
                <c:pt idx="105">
                  <c:v>9.99980732499217</c:v>
                </c:pt>
                <c:pt idx="106">
                  <c:v>9.99985035006017</c:v>
                </c:pt>
                <c:pt idx="107">
                  <c:v>9.99988770294597</c:v>
                </c:pt>
                <c:pt idx="108">
                  <c:v>9.9999198694003</c:v>
                </c:pt>
                <c:pt idx="109">
                  <c:v>9.99994732312817</c:v>
                </c:pt>
                <c:pt idx="110">
                  <c:v>9.99997052095673</c:v>
                </c:pt>
                <c:pt idx="111">
                  <c:v>9.99998989914087</c:v>
                </c:pt>
                <c:pt idx="112">
                  <c:v>10.0000058706529</c:v>
                </c:pt>
                <c:pt idx="113">
                  <c:v>10.0000188233158</c:v>
                </c:pt>
                <c:pt idx="114">
                  <c:v>10.0000291186532</c:v>
                </c:pt>
                <c:pt idx="115">
                  <c:v>10.0000370913411</c:v>
                </c:pt>
                <c:pt idx="116">
                  <c:v>10.0000430491601</c:v>
                </c:pt>
                <c:pt idx="117">
                  <c:v>10.0000472733553</c:v>
                </c:pt>
                <c:pt idx="118">
                  <c:v>10.0000500193257</c:v>
                </c:pt>
                <c:pt idx="119">
                  <c:v>10.0000515175707</c:v>
                </c:pt>
                <c:pt idx="120">
                  <c:v>10.0000519748331</c:v>
                </c:pt>
                <c:pt idx="121">
                  <c:v>10.000051575386</c:v>
                </c:pt>
                <c:pt idx="122">
                  <c:v>10.0000504824171</c:v>
                </c:pt>
                <c:pt idx="123">
                  <c:v>10.0000488394726</c:v>
                </c:pt>
                <c:pt idx="124">
                  <c:v>10.0000467719279</c:v>
                </c:pt>
                <c:pt idx="125">
                  <c:v>10.0000443884593</c:v>
                </c:pt>
                <c:pt idx="126">
                  <c:v>10.0000417824925</c:v>
                </c:pt>
                <c:pt idx="127">
                  <c:v>10.0000390336135</c:v>
                </c:pt>
                <c:pt idx="128">
                  <c:v>10.0000362089248</c:v>
                </c:pt>
                <c:pt idx="129">
                  <c:v>10.0000333643397</c:v>
                </c:pt>
                <c:pt idx="130">
                  <c:v>10.0000305458045</c:v>
                </c:pt>
                <c:pt idx="131">
                  <c:v>10.0000277904446</c:v>
                </c:pt>
                <c:pt idx="132">
                  <c:v>10.0000251276319</c:v>
                </c:pt>
                <c:pt idx="133">
                  <c:v>10.000022579971</c:v>
                </c:pt>
                <c:pt idx="134">
                  <c:v>10.0000201642052</c:v>
                </c:pt>
                <c:pt idx="135">
                  <c:v>10.0000178920438</c:v>
                </c:pt>
                <c:pt idx="136">
                  <c:v>10.0000157709114</c:v>
                </c:pt>
                <c:pt idx="137">
                  <c:v>10.0000138046245</c:v>
                </c:pt>
                <c:pt idx="138">
                  <c:v>10.0000119939968</c:v>
                </c:pt>
                <c:pt idx="139">
                  <c:v>10.000010337378</c:v>
                </c:pt>
                <c:pt idx="140">
                  <c:v>10.000008831131</c:v>
                </c:pt>
                <c:pt idx="141">
                  <c:v>10.0000074700507</c:v>
                </c:pt>
                <c:pt idx="142">
                  <c:v>10.0000062477287</c:v>
                </c:pt>
                <c:pt idx="143">
                  <c:v>10.0000051568699</c:v>
                </c:pt>
                <c:pt idx="144">
                  <c:v>10.0000041895635</c:v>
                </c:pt>
                <c:pt idx="145">
                  <c:v>10.0000033375139</c:v>
                </c:pt>
                <c:pt idx="146">
                  <c:v>10.0000025922343</c:v>
                </c:pt>
                <c:pt idx="147">
                  <c:v>10.0000019452081</c:v>
                </c:pt>
                <c:pt idx="148">
                  <c:v>10.0000013880212</c:v>
                </c:pt>
                <c:pt idx="149">
                  <c:v>10.0000009124681</c:v>
                </c:pt>
                <c:pt idx="150">
                  <c:v>10.0000005106356</c:v>
                </c:pt>
                <c:pt idx="151">
                  <c:v>10.0000001749669</c:v>
                </c:pt>
                <c:pt idx="152">
                  <c:v>9.99999989830863</c:v>
                </c:pt>
                <c:pt idx="153">
                  <c:v>9.99999967394277</c:v>
                </c:pt>
                <c:pt idx="154">
                  <c:v>9.99999949560708</c:v>
                </c:pt>
                <c:pt idx="155">
                  <c:v>9.99999935750428</c:v>
                </c:pt>
                <c:pt idx="156">
                  <c:v>9.99999925430302</c:v>
                </c:pt>
                <c:pt idx="157">
                  <c:v>9.99999918113157</c:v>
                </c:pt>
                <c:pt idx="158">
                  <c:v>9.9999991335659</c:v>
                </c:pt>
                <c:pt idx="159">
                  <c:v>9.99999910761332</c:v>
                </c:pt>
                <c:pt idx="160">
                  <c:v>9.99999909969263</c:v>
                </c:pt>
                <c:pt idx="161">
                  <c:v>9.99999910661185</c:v>
                </c:pt>
                <c:pt idx="162">
                  <c:v>9.99999912554424</c:v>
                </c:pt>
                <c:pt idx="163">
                  <c:v>9.99999915400331</c:v>
                </c:pt>
                <c:pt idx="164">
                  <c:v>9.99999918981729</c:v>
                </c:pt>
                <c:pt idx="165">
                  <c:v>9.9999992311037</c:v>
                </c:pt>
                <c:pt idx="166">
                  <c:v>9.99999927624422</c:v>
                </c:pt>
                <c:pt idx="167">
                  <c:v>9.99999932386027</c:v>
                </c:pt>
                <c:pt idx="168">
                  <c:v>9.99999937278949</c:v>
                </c:pt>
                <c:pt idx="169">
                  <c:v>9.99999942206335</c:v>
                </c:pt>
                <c:pt idx="170">
                  <c:v>9.99999947088598</c:v>
                </c:pt>
                <c:pt idx="171">
                  <c:v>9.99999951861429</c:v>
                </c:pt>
                <c:pt idx="172">
                  <c:v>9.99999956473949</c:v>
                </c:pt>
                <c:pt idx="173">
                  <c:v>9.99999960887004</c:v>
                </c:pt>
                <c:pt idx="174">
                  <c:v>9.9999996507159</c:v>
                </c:pt>
                <c:pt idx="175">
                  <c:v>9.99999969007426</c:v>
                </c:pt>
                <c:pt idx="176">
                  <c:v>9.99999972681648</c:v>
                </c:pt>
                <c:pt idx="177">
                  <c:v>9.99999976087648</c:v>
                </c:pt>
                <c:pt idx="178">
                  <c:v>9.99999979224015</c:v>
                </c:pt>
                <c:pt idx="179">
                  <c:v>9.99999982093608</c:v>
                </c:pt>
                <c:pt idx="180">
                  <c:v>9.99999984702727</c:v>
                </c:pt>
                <c:pt idx="181">
                  <c:v>9.99999987060388</c:v>
                </c:pt>
                <c:pt idx="182">
                  <c:v>9.99999989177693</c:v>
                </c:pt>
                <c:pt idx="183">
                  <c:v>9.99999991067277</c:v>
                </c:pt>
                <c:pt idx="184">
                  <c:v>9.99999992742844</c:v>
                </c:pt>
                <c:pt idx="185">
                  <c:v>9.99999994218763</c:v>
                </c:pt>
                <c:pt idx="186">
                  <c:v>9.99999995509735</c:v>
                </c:pt>
                <c:pt idx="187">
                  <c:v>9.99999996630513</c:v>
                </c:pt>
                <c:pt idx="188">
                  <c:v>9.99999997595672</c:v>
                </c:pt>
                <c:pt idx="189">
                  <c:v>9.99999998419424</c:v>
                </c:pt>
                <c:pt idx="190">
                  <c:v>9.99999999115478</c:v>
                </c:pt>
                <c:pt idx="191">
                  <c:v>9.99999999696922</c:v>
                </c:pt>
                <c:pt idx="192">
                  <c:v>10.0000000017615</c:v>
                </c:pt>
                <c:pt idx="193">
                  <c:v>10.000000005648</c:v>
                </c:pt>
                <c:pt idx="194">
                  <c:v>10.0000000087371</c:v>
                </c:pt>
                <c:pt idx="195">
                  <c:v>10.0000000111293</c:v>
                </c:pt>
                <c:pt idx="196">
                  <c:v>10.000000012917</c:v>
                </c:pt>
                <c:pt idx="197">
                  <c:v>10.0000000141844</c:v>
                </c:pt>
                <c:pt idx="198">
                  <c:v>10.0000000150084</c:v>
                </c:pt>
                <c:pt idx="199">
                  <c:v>10.0000000154579</c:v>
                </c:pt>
                <c:pt idx="200">
                  <c:v>10.0000000155951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(s)</a:t>
                </a:r>
                <a:endParaRPr lang="en-US"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  <a:endParaRPr lang="en-US"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1"/>
    <c:extLst>
      <c:ext uri="{0b15fc19-7d7d-44ad-8c2d-2c3a37ce22c3}">
        <chartProps xmlns="https://web.wps.cn/et/2018/main" chartId="{42911b3f-c5ae-439a-acd9-d648b9480e1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>
      <xdr:nvGraphicFramePr>
        <xdr:cNvPr id="2" name="Chart 1"/>
        <xdr:cNvGraphicFramePr/>
      </xdr:nvGraphicFramePr>
      <xdr:xfrm>
        <a:off x="5605780" y="153035"/>
        <a:ext cx="9135110" cy="4025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2"/>
  <sheetViews>
    <sheetView tabSelected="1" topLeftCell="A7" workbookViewId="0">
      <selection activeCell="C27" sqref="C27"/>
    </sheetView>
  </sheetViews>
  <sheetFormatPr defaultColWidth="8.6640625" defaultRowHeight="16.8" outlineLevelCol="3"/>
  <cols>
    <col min="1" max="1" width="34" customWidth="1"/>
    <col min="2" max="4" width="30" customWidth="1"/>
  </cols>
  <sheetData>
    <row r="1" ht="20.4" spans="1:1">
      <c r="A1" s="1" t="s">
        <v>0</v>
      </c>
    </row>
    <row r="2" spans="1:1">
      <c r="A2" s="2" t="s">
        <v>1</v>
      </c>
    </row>
    <row r="4" spans="1:1">
      <c r="A4" s="3" t="s">
        <v>2</v>
      </c>
    </row>
    <row r="5" spans="1:2">
      <c r="A5" s="4" t="s">
        <v>3</v>
      </c>
      <c r="B5" s="5">
        <v>50</v>
      </c>
    </row>
    <row r="6" spans="1:2">
      <c r="A6" s="4" t="s">
        <v>4</v>
      </c>
      <c r="B6" s="5">
        <v>0.1</v>
      </c>
    </row>
    <row r="7" spans="1:2">
      <c r="A7" s="4" t="s">
        <v>5</v>
      </c>
      <c r="B7" s="5">
        <v>0.0001</v>
      </c>
    </row>
    <row r="8" spans="1:2">
      <c r="A8" s="4" t="s">
        <v>6</v>
      </c>
      <c r="B8" s="5">
        <v>10</v>
      </c>
    </row>
    <row r="10" spans="1:1">
      <c r="A10" s="3" t="s">
        <v>7</v>
      </c>
    </row>
    <row r="11" spans="1:2">
      <c r="A11" s="4" t="s">
        <v>8</v>
      </c>
      <c r="B11" s="6">
        <f>$B$5/(2*$B$6)</f>
        <v>250</v>
      </c>
    </row>
    <row r="12" spans="1:2">
      <c r="A12" s="4" t="s">
        <v>9</v>
      </c>
      <c r="B12" s="6">
        <f>1/SQRT($B$6*$B$7)</f>
        <v>316.227766016838</v>
      </c>
    </row>
    <row r="13" spans="1:2">
      <c r="A13" s="4" t="s">
        <v>10</v>
      </c>
      <c r="B13" s="6">
        <f>SQRT($B$12^2-$B$11^2)</f>
        <v>193.649167310371</v>
      </c>
    </row>
    <row r="14" spans="1:2">
      <c r="A14" s="4" t="s">
        <v>11</v>
      </c>
      <c r="B14" s="7">
        <f>2*PI()/$B$13</f>
        <v>0.0324462294077889</v>
      </c>
    </row>
    <row r="15" spans="1:2">
      <c r="A15" s="4" t="s">
        <v>12</v>
      </c>
      <c r="B15" s="7">
        <f>2.5*$B$14</f>
        <v>0.0811155735194723</v>
      </c>
    </row>
    <row r="16" spans="1:2">
      <c r="A16" s="4" t="s">
        <v>13</v>
      </c>
      <c r="B16" s="5">
        <v>200</v>
      </c>
    </row>
    <row r="17" spans="1:2">
      <c r="A17" s="4" t="s">
        <v>14</v>
      </c>
      <c r="B17" s="7">
        <f>$B$15/$B$16</f>
        <v>0.000405577867597361</v>
      </c>
    </row>
    <row r="19" ht="45" customHeight="1" spans="1:4">
      <c r="A19" s="8" t="s">
        <v>15</v>
      </c>
      <c r="B19" s="8"/>
      <c r="C19" s="8"/>
      <c r="D19" s="8"/>
    </row>
    <row r="21" ht="30" customHeight="1" spans="1:4">
      <c r="A21" s="9" t="s">
        <v>16</v>
      </c>
      <c r="B21" s="9" t="s">
        <v>17</v>
      </c>
      <c r="C21" s="9" t="s">
        <v>18</v>
      </c>
      <c r="D21" s="9" t="s">
        <v>19</v>
      </c>
    </row>
    <row r="22" spans="1:4">
      <c r="A22" s="7">
        <v>0</v>
      </c>
      <c r="B22" s="6">
        <f t="shared" ref="B22:B85" si="0">(($B$8/($B$6*$B$13))*EXP(-$B$11*A22)*SIN($B$13*A22))*$B$5</f>
        <v>0</v>
      </c>
      <c r="C22" s="6">
        <f t="shared" ref="C22:C85" si="1">$B$8-B22-D22</f>
        <v>10</v>
      </c>
      <c r="D22" s="6">
        <f t="shared" ref="D22:D85" si="2">$B$8*(1-EXP(-$B$11*A22)*(COS($B$13*A22)+($B$11/$B$13)*SIN($B$13*A22)))</f>
        <v>0</v>
      </c>
    </row>
    <row r="23" spans="1:4">
      <c r="A23" s="7">
        <f t="shared" ref="A23:A54" si="3">A22+$B$17</f>
        <v>0.000405577867597361</v>
      </c>
      <c r="B23" s="6">
        <f t="shared" si="0"/>
        <v>1.83046998266207</v>
      </c>
      <c r="C23" s="6">
        <f t="shared" si="1"/>
        <v>8.09267607517352</v>
      </c>
      <c r="D23" s="6">
        <f t="shared" si="2"/>
        <v>0.076853942164411</v>
      </c>
    </row>
    <row r="24" spans="1:4">
      <c r="A24" s="7">
        <f t="shared" si="3"/>
        <v>0.000811155735194723</v>
      </c>
      <c r="B24" s="6">
        <f t="shared" si="0"/>
        <v>3.29774216274521</v>
      </c>
      <c r="C24" s="6">
        <f t="shared" si="1"/>
        <v>6.41511579147151</v>
      </c>
      <c r="D24" s="6">
        <f t="shared" si="2"/>
        <v>0.287142045783276</v>
      </c>
    </row>
    <row r="25" spans="1:4">
      <c r="A25" s="7">
        <f t="shared" si="3"/>
        <v>0.00121673360279208</v>
      </c>
      <c r="B25" s="6">
        <f t="shared" si="0"/>
        <v>4.44666540335934</v>
      </c>
      <c r="C25" s="6">
        <f t="shared" si="1"/>
        <v>4.95008868693236</v>
      </c>
      <c r="D25" s="6">
        <f t="shared" si="2"/>
        <v>0.603245909708298</v>
      </c>
    </row>
    <row r="26" spans="1:4">
      <c r="A26" s="7">
        <f t="shared" si="3"/>
        <v>0.00162231147038945</v>
      </c>
      <c r="B26" s="6">
        <f t="shared" si="0"/>
        <v>5.31858990208039</v>
      </c>
      <c r="C26" s="6">
        <v>892170</v>
      </c>
      <c r="D26" s="6">
        <f t="shared" si="2"/>
        <v>1.00104317099879</v>
      </c>
    </row>
    <row r="27" spans="1:4">
      <c r="A27" s="7">
        <f t="shared" si="3"/>
        <v>0.00202788933798681</v>
      </c>
      <c r="B27" s="6">
        <f t="shared" si="0"/>
        <v>5.9513945604984</v>
      </c>
      <c r="C27" s="6">
        <f t="shared" si="1"/>
        <v>2.58898097110129</v>
      </c>
      <c r="D27" s="6">
        <f t="shared" si="2"/>
        <v>1.45962446840031</v>
      </c>
    </row>
    <row r="28" spans="1:4">
      <c r="A28" s="7">
        <f t="shared" si="3"/>
        <v>0.00243346720558417</v>
      </c>
      <c r="B28" s="6">
        <f t="shared" si="0"/>
        <v>6.37956094249181</v>
      </c>
      <c r="C28" s="6">
        <f t="shared" si="1"/>
        <v>1.65942447247227</v>
      </c>
      <c r="D28" s="6">
        <f t="shared" si="2"/>
        <v>1.96101458503593</v>
      </c>
    </row>
    <row r="29" spans="1:4">
      <c r="A29" s="7">
        <f t="shared" si="3"/>
        <v>0.00283904507318153</v>
      </c>
      <c r="B29" s="6">
        <f t="shared" si="0"/>
        <v>6.63428417025648</v>
      </c>
      <c r="C29" s="6">
        <f t="shared" si="1"/>
        <v>0.875814680381589</v>
      </c>
      <c r="D29" s="6">
        <f t="shared" si="2"/>
        <v>2.48990114936193</v>
      </c>
    </row>
    <row r="30" spans="1:4">
      <c r="A30" s="7">
        <f t="shared" si="3"/>
        <v>0.00324462294077889</v>
      </c>
      <c r="B30" s="6">
        <f t="shared" si="0"/>
        <v>6.74361232934549</v>
      </c>
      <c r="C30" s="6">
        <f t="shared" si="1"/>
        <v>0.223014129816796</v>
      </c>
      <c r="D30" s="6">
        <f t="shared" si="2"/>
        <v>3.03337354083771</v>
      </c>
    </row>
    <row r="31" spans="1:4">
      <c r="A31" s="7">
        <f t="shared" si="3"/>
        <v>0.00365020080837625</v>
      </c>
      <c r="B31" s="6">
        <f t="shared" si="0"/>
        <v>6.73260707718553</v>
      </c>
      <c r="C31" s="6">
        <f t="shared" si="1"/>
        <v>-0.313281086463667</v>
      </c>
      <c r="D31" s="6">
        <f t="shared" si="2"/>
        <v>3.58067400927814</v>
      </c>
    </row>
    <row r="32" spans="1:4">
      <c r="A32" s="7">
        <f t="shared" si="3"/>
        <v>0.00405577867597361</v>
      </c>
      <c r="B32" s="6">
        <f t="shared" si="0"/>
        <v>6.62351917520221</v>
      </c>
      <c r="C32" s="6">
        <f t="shared" si="1"/>
        <v>-0.746481641716742</v>
      </c>
      <c r="D32" s="6">
        <f t="shared" si="2"/>
        <v>4.12296246651453</v>
      </c>
    </row>
    <row r="33" spans="1:4">
      <c r="A33" s="7">
        <f t="shared" si="3"/>
        <v>0.00446135654357097</v>
      </c>
      <c r="B33" s="6">
        <f t="shared" si="0"/>
        <v>6.43597359546354</v>
      </c>
      <c r="C33" s="6">
        <f t="shared" si="1"/>
        <v>-1.0890695334395</v>
      </c>
      <c r="D33" s="6">
        <f t="shared" si="2"/>
        <v>4.65309593797596</v>
      </c>
    </row>
    <row r="34" spans="1:4">
      <c r="A34" s="7">
        <f t="shared" si="3"/>
        <v>0.00486693441116834</v>
      </c>
      <c r="B34" s="6">
        <f t="shared" si="0"/>
        <v>6.18715969221652</v>
      </c>
      <c r="C34" s="6">
        <f t="shared" si="1"/>
        <v>-1.35258295477469</v>
      </c>
      <c r="D34" s="6">
        <f t="shared" si="2"/>
        <v>5.16542326255817</v>
      </c>
    </row>
    <row r="35" spans="1:4">
      <c r="A35" s="7">
        <f t="shared" si="3"/>
        <v>0.0052725122787657</v>
      </c>
      <c r="B35" s="6">
        <f t="shared" si="0"/>
        <v>5.89202268112422</v>
      </c>
      <c r="C35" s="6">
        <f t="shared" si="1"/>
        <v>-1.54761797556083</v>
      </c>
      <c r="D35" s="6">
        <f t="shared" si="2"/>
        <v>5.65559529443661</v>
      </c>
    </row>
    <row r="36" spans="1:4">
      <c r="A36" s="7">
        <f t="shared" si="3"/>
        <v>0.00567809014636306</v>
      </c>
      <c r="B36" s="6">
        <f t="shared" si="0"/>
        <v>5.56345333919833</v>
      </c>
      <c r="C36" s="6">
        <f t="shared" si="1"/>
        <v>-1.68384392263144</v>
      </c>
      <c r="D36" s="6">
        <f t="shared" si="2"/>
        <v>6.12039058343311</v>
      </c>
    </row>
    <row r="37" spans="1:4">
      <c r="A37" s="7">
        <f t="shared" si="3"/>
        <v>0.00608366801396042</v>
      </c>
      <c r="B37" s="6">
        <f t="shared" si="0"/>
        <v>5.21247343149534</v>
      </c>
      <c r="C37" s="6">
        <f t="shared" si="1"/>
        <v>-1.77002971619432</v>
      </c>
      <c r="D37" s="6">
        <f t="shared" si="2"/>
        <v>6.55755628469898</v>
      </c>
    </row>
    <row r="38" spans="1:4">
      <c r="A38" s="7">
        <f t="shared" si="3"/>
        <v>0.00648924588155778</v>
      </c>
      <c r="B38" s="6">
        <f t="shared" si="0"/>
        <v>4.84841489194021</v>
      </c>
      <c r="C38" s="6">
        <f t="shared" si="1"/>
        <v>-1.81407875973023</v>
      </c>
      <c r="D38" s="6">
        <f t="shared" si="2"/>
        <v>6.96566386779001</v>
      </c>
    </row>
    <row r="39" spans="1:4">
      <c r="A39" s="7">
        <f t="shared" si="3"/>
        <v>0.00689482374915514</v>
      </c>
      <c r="B39" s="6">
        <f t="shared" si="0"/>
        <v>4.47909124058369</v>
      </c>
      <c r="C39" s="6">
        <f t="shared" si="1"/>
        <v>-1.82307029466246</v>
      </c>
      <c r="D39" s="6">
        <f t="shared" si="2"/>
        <v>7.34397905407877</v>
      </c>
    </row>
    <row r="40" spans="1:4">
      <c r="A40" s="7">
        <f t="shared" si="3"/>
        <v>0.0073004016167525</v>
      </c>
      <c r="B40" s="6">
        <f t="shared" si="0"/>
        <v>4.11096011360214</v>
      </c>
      <c r="C40" s="6">
        <f t="shared" si="1"/>
        <v>-1.80330541831716</v>
      </c>
      <c r="D40" s="6">
        <f t="shared" si="2"/>
        <v>7.69234530471502</v>
      </c>
    </row>
    <row r="41" spans="1:4">
      <c r="A41" s="7">
        <f t="shared" si="3"/>
        <v>0.00770597948434986</v>
      </c>
      <c r="B41" s="6">
        <f t="shared" si="0"/>
        <v>3.7492761207409</v>
      </c>
      <c r="C41" s="6">
        <f t="shared" si="1"/>
        <v>-1.7603562250194</v>
      </c>
      <c r="D41" s="6">
        <f t="shared" si="2"/>
        <v>8.0110801042785</v>
      </c>
    </row>
    <row r="42" spans="1:4">
      <c r="A42" s="7">
        <f t="shared" si="3"/>
        <v>0.00811155735194722</v>
      </c>
      <c r="B42" s="6">
        <f t="shared" si="0"/>
        <v>3.39823353285768</v>
      </c>
      <c r="C42" s="6">
        <f t="shared" si="1"/>
        <v>-1.69911676642884</v>
      </c>
      <c r="D42" s="6">
        <f t="shared" si="2"/>
        <v>8.30088323357116</v>
      </c>
    </row>
    <row r="43" spans="1:4">
      <c r="A43" s="7">
        <f t="shared" si="3"/>
        <v>0.00851713521954458</v>
      </c>
      <c r="B43" s="6">
        <f t="shared" si="0"/>
        <v>3.06109854471956</v>
      </c>
      <c r="C43" s="6">
        <f t="shared" si="1"/>
        <v>-1.62385473949935</v>
      </c>
      <c r="D43" s="6">
        <f t="shared" si="2"/>
        <v>8.56275619477979</v>
      </c>
    </row>
    <row r="44" spans="1:4">
      <c r="A44" s="7">
        <f t="shared" si="3"/>
        <v>0.00892271308714195</v>
      </c>
      <c r="B44" s="6">
        <f t="shared" si="0"/>
        <v>2.74033105998231</v>
      </c>
      <c r="C44" s="6">
        <f t="shared" si="1"/>
        <v>-1.53826299999354</v>
      </c>
      <c r="D44" s="6">
        <f t="shared" si="2"/>
        <v>8.79793194001124</v>
      </c>
    </row>
    <row r="45" spans="1:4">
      <c r="A45" s="7">
        <f t="shared" si="3"/>
        <v>0.00932829095473931</v>
      </c>
      <c r="B45" s="6">
        <f t="shared" si="0"/>
        <v>2.43769611081</v>
      </c>
      <c r="C45" s="6">
        <f t="shared" si="1"/>
        <v>-1.44551016765141</v>
      </c>
      <c r="D45" s="6">
        <f t="shared" si="2"/>
        <v>9.00781405684141</v>
      </c>
    </row>
    <row r="46" spans="1:4">
      <c r="A46" s="7">
        <f t="shared" si="3"/>
        <v>0.00973386882233667</v>
      </c>
      <c r="B46" s="6">
        <f t="shared" si="0"/>
        <v>2.15436515806666</v>
      </c>
      <c r="C46" s="6">
        <f t="shared" si="1"/>
        <v>-1.34828973732485</v>
      </c>
      <c r="D46" s="6">
        <f t="shared" si="2"/>
        <v>9.19392457925819</v>
      </c>
    </row>
    <row r="47" spans="1:4">
      <c r="A47" s="7">
        <f t="shared" si="3"/>
        <v>0.010139446689934</v>
      </c>
      <c r="B47" s="6">
        <f t="shared" si="0"/>
        <v>1.89100762333031</v>
      </c>
      <c r="C47" s="6">
        <f t="shared" si="1"/>
        <v>-1.24886724010644</v>
      </c>
      <c r="D47" s="6">
        <f t="shared" si="2"/>
        <v>9.35785961677613</v>
      </c>
    </row>
    <row r="48" spans="1:4">
      <c r="A48" s="7">
        <f t="shared" si="3"/>
        <v>0.0105450245575314</v>
      </c>
      <c r="B48" s="6">
        <f t="shared" si="0"/>
        <v>1.64787308474423</v>
      </c>
      <c r="C48" s="6">
        <f t="shared" si="1"/>
        <v>-1.14912511116739</v>
      </c>
      <c r="D48" s="6">
        <f t="shared" si="2"/>
        <v>9.50125202642315</v>
      </c>
    </row>
    <row r="49" spans="1:4">
      <c r="A49" s="7">
        <f t="shared" si="3"/>
        <v>0.0109506024251288</v>
      </c>
      <c r="B49" s="6">
        <f t="shared" si="0"/>
        <v>1.4248646282378</v>
      </c>
      <c r="C49" s="6">
        <f t="shared" si="1"/>
        <v>-1.05060501812699</v>
      </c>
      <c r="D49" s="6">
        <f t="shared" si="2"/>
        <v>9.62574038988919</v>
      </c>
    </row>
    <row r="50" spans="1:4">
      <c r="A50" s="7">
        <f t="shared" si="3"/>
        <v>0.0113561802927261</v>
      </c>
      <c r="B50" s="6">
        <f t="shared" si="0"/>
        <v>1.22160388693317</v>
      </c>
      <c r="C50" s="6">
        <f t="shared" si="1"/>
        <v>-0.9545474867192</v>
      </c>
      <c r="D50" s="6">
        <f t="shared" si="2"/>
        <v>9.73294359978603</v>
      </c>
    </row>
    <row r="51" spans="1:4">
      <c r="A51" s="7">
        <f t="shared" si="3"/>
        <v>0.0117617581603235</v>
      </c>
      <c r="B51" s="6">
        <f t="shared" si="0"/>
        <v>1.03748832733925</v>
      </c>
      <c r="C51" s="6">
        <f t="shared" si="1"/>
        <v>-0.861928730668327</v>
      </c>
      <c r="D51" s="6">
        <f t="shared" si="2"/>
        <v>9.82444040332908</v>
      </c>
    </row>
    <row r="52" spans="1:4">
      <c r="A52" s="7">
        <f t="shared" si="3"/>
        <v>0.0121673360279208</v>
      </c>
      <c r="B52" s="6">
        <f t="shared" si="0"/>
        <v>0.871741353680454</v>
      </c>
      <c r="C52" s="6">
        <f t="shared" si="1"/>
        <v>-0.773494651340696</v>
      </c>
      <c r="D52" s="6">
        <f t="shared" si="2"/>
        <v>9.90175329766024</v>
      </c>
    </row>
    <row r="53" spans="1:4">
      <c r="A53" s="7">
        <f t="shared" si="3"/>
        <v>0.0125729138955182</v>
      </c>
      <c r="B53" s="6">
        <f t="shared" si="0"/>
        <v>0.723455803619764</v>
      </c>
      <c r="C53" s="6">
        <f t="shared" si="1"/>
        <v>-0.689792021140244</v>
      </c>
      <c r="D53" s="6">
        <f t="shared" si="2"/>
        <v>9.96633621752048</v>
      </c>
    </row>
    <row r="54" spans="1:4">
      <c r="A54" s="7">
        <f t="shared" si="3"/>
        <v>0.0129784917631156</v>
      </c>
      <c r="B54" s="6">
        <f t="shared" si="0"/>
        <v>0.591631401673073</v>
      </c>
      <c r="C54" s="6">
        <f t="shared" si="1"/>
        <v>-0.61119690392507</v>
      </c>
      <c r="D54" s="6">
        <f t="shared" si="2"/>
        <v>10.019565502252</v>
      </c>
    </row>
    <row r="55" spans="1:4">
      <c r="A55" s="7">
        <f t="shared" ref="A55:A86" si="4">A54+$B$17</f>
        <v>0.0133840696307129</v>
      </c>
      <c r="B55" s="6">
        <f t="shared" si="0"/>
        <v>0.475206722507306</v>
      </c>
      <c r="C55" s="6">
        <f t="shared" si="1"/>
        <v>-0.537940397023966</v>
      </c>
      <c r="D55" s="6">
        <f t="shared" si="2"/>
        <v>10.0627336745167</v>
      </c>
    </row>
    <row r="56" spans="1:4">
      <c r="A56" s="7">
        <f t="shared" si="4"/>
        <v>0.0137896474983103</v>
      </c>
      <c r="B56" s="6">
        <f t="shared" si="0"/>
        <v>0.373086196589165</v>
      </c>
      <c r="C56" s="6">
        <f t="shared" si="1"/>
        <v>-0.470131803730876</v>
      </c>
      <c r="D56" s="6">
        <f t="shared" si="2"/>
        <v>10.0970456071417</v>
      </c>
    </row>
    <row r="57" spans="1:4">
      <c r="A57" s="7">
        <f t="shared" si="4"/>
        <v>0.0141952253659076</v>
      </c>
      <c r="B57" s="6">
        <f t="shared" si="0"/>
        <v>0.284162666629251</v>
      </c>
      <c r="C57" s="6">
        <f t="shared" si="1"/>
        <v>-0.407779363375184</v>
      </c>
      <c r="D57" s="6">
        <f t="shared" si="2"/>
        <v>10.1236166967459</v>
      </c>
    </row>
    <row r="58" spans="1:4">
      <c r="A58" s="7">
        <f t="shared" si="4"/>
        <v>0.014600803233505</v>
      </c>
      <c r="B58" s="6">
        <f t="shared" si="0"/>
        <v>0.207335976093878</v>
      </c>
      <c r="C58" s="6">
        <f t="shared" si="1"/>
        <v>-0.350808679051905</v>
      </c>
      <c r="D58" s="6">
        <f t="shared" si="2"/>
        <v>10.143472702958</v>
      </c>
    </row>
    <row r="59" spans="1:4">
      <c r="A59" s="7">
        <f t="shared" si="4"/>
        <v>0.0150063811011024</v>
      </c>
      <c r="B59" s="6">
        <f t="shared" si="0"/>
        <v>0.141528041716161</v>
      </c>
      <c r="C59" s="6">
        <f t="shared" si="1"/>
        <v>-0.299078991615289</v>
      </c>
      <c r="D59" s="6">
        <f t="shared" si="2"/>
        <v>10.1575509498991</v>
      </c>
    </row>
    <row r="60" spans="1:4">
      <c r="A60" s="7">
        <f t="shared" si="4"/>
        <v>0.0154119589686997</v>
      </c>
      <c r="B60" s="6">
        <f t="shared" si="0"/>
        <v>0.0856948312632288</v>
      </c>
      <c r="C60" s="6">
        <f t="shared" si="1"/>
        <v>-0.252397453285862</v>
      </c>
      <c r="D60" s="6">
        <f t="shared" si="2"/>
        <v>10.1667026220226</v>
      </c>
    </row>
    <row r="61" spans="1:4">
      <c r="A61" s="7">
        <f t="shared" si="4"/>
        <v>0.0158175368362971</v>
      </c>
      <c r="B61" s="6">
        <f t="shared" si="0"/>
        <v>0.0388356365086468</v>
      </c>
      <c r="C61" s="6">
        <f t="shared" si="1"/>
        <v>-0.21053155581599</v>
      </c>
      <c r="D61" s="6">
        <f t="shared" si="2"/>
        <v>10.1716959193073</v>
      </c>
    </row>
    <row r="62" spans="1:4">
      <c r="A62" s="7">
        <f t="shared" si="4"/>
        <v>0.0162231147038944</v>
      </c>
      <c r="B62" s="6">
        <f t="shared" si="0"/>
        <v>2.53414668806176e-16</v>
      </c>
      <c r="C62" s="6">
        <f t="shared" si="1"/>
        <v>-0.173219867157577</v>
      </c>
      <c r="D62" s="6">
        <f t="shared" si="2"/>
        <v>10.1732198671576</v>
      </c>
    </row>
    <row r="63" spans="1:4">
      <c r="A63" s="7">
        <f t="shared" si="4"/>
        <v>0.0166286925714918</v>
      </c>
      <c r="B63" s="6">
        <f t="shared" si="0"/>
        <v>-0.0317073767232652</v>
      </c>
      <c r="C63" s="6">
        <f t="shared" si="1"/>
        <v>-0.140181227469085</v>
      </c>
      <c r="D63" s="6">
        <f t="shared" si="2"/>
        <v>10.1718886041924</v>
      </c>
    </row>
    <row r="64" spans="1:4">
      <c r="A64" s="7">
        <f t="shared" si="4"/>
        <v>0.0170342704390892</v>
      </c>
      <c r="B64" s="6">
        <f t="shared" si="0"/>
        <v>-0.0571234459350662</v>
      </c>
      <c r="C64" s="6">
        <f t="shared" si="1"/>
        <v>-0.111122550519918</v>
      </c>
      <c r="D64" s="6">
        <f t="shared" si="2"/>
        <v>10.168245996455</v>
      </c>
    </row>
    <row r="65" spans="1:4">
      <c r="A65" s="7">
        <f t="shared" si="4"/>
        <v>0.0174398483066865</v>
      </c>
      <c r="B65" s="6">
        <f t="shared" si="0"/>
        <v>-0.0770250790464095</v>
      </c>
      <c r="C65" s="6">
        <f t="shared" si="1"/>
        <v>-0.0857453704768627</v>
      </c>
      <c r="D65" s="6">
        <f t="shared" si="2"/>
        <v>10.1627704495233</v>
      </c>
    </row>
    <row r="66" spans="1:4">
      <c r="A66" s="7">
        <f t="shared" si="4"/>
        <v>0.0178454261742839</v>
      </c>
      <c r="B66" s="6">
        <f t="shared" si="0"/>
        <v>-0.0921285436303991</v>
      </c>
      <c r="C66" s="6">
        <f t="shared" si="1"/>
        <v>-0.0637512670172367</v>
      </c>
      <c r="D66" s="6">
        <f t="shared" si="2"/>
        <v>10.1558798106476</v>
      </c>
    </row>
    <row r="67" spans="1:4">
      <c r="A67" s="7">
        <f t="shared" si="4"/>
        <v>0.0182510040418813</v>
      </c>
      <c r="B67" s="6">
        <f t="shared" si="0"/>
        <v>-0.103089977517185</v>
      </c>
      <c r="C67" s="6">
        <f t="shared" si="1"/>
        <v>-0.0448462939887655</v>
      </c>
      <c r="D67" s="6">
        <f t="shared" si="2"/>
        <v>10.147936271506</v>
      </c>
    </row>
    <row r="68" spans="1:4">
      <c r="A68" s="7">
        <f t="shared" si="4"/>
        <v>0.0186565819094786</v>
      </c>
      <c r="B68" s="6">
        <f t="shared" si="0"/>
        <v>-0.110506669898209</v>
      </c>
      <c r="C68" s="6">
        <f t="shared" si="1"/>
        <v>-0.0287445286679677</v>
      </c>
      <c r="D68" s="6">
        <f t="shared" si="2"/>
        <v>10.1392511985662</v>
      </c>
    </row>
    <row r="69" spans="1:4">
      <c r="A69" s="7">
        <f t="shared" si="4"/>
        <v>0.019062159777076</v>
      </c>
      <c r="B69" s="6">
        <f t="shared" si="0"/>
        <v>-0.114918982265744</v>
      </c>
      <c r="C69" s="6">
        <f t="shared" si="1"/>
        <v>-0.0151708502590342</v>
      </c>
      <c r="D69" s="6">
        <f t="shared" si="2"/>
        <v>10.1300898325248</v>
      </c>
    </row>
    <row r="70" spans="1:4">
      <c r="A70" s="7">
        <f t="shared" si="4"/>
        <v>0.0194677376446733</v>
      </c>
      <c r="B70" s="6">
        <f t="shared" si="0"/>
        <v>-0.116812763185142</v>
      </c>
      <c r="C70" s="6">
        <f t="shared" si="1"/>
        <v>-0.00386304779411262</v>
      </c>
      <c r="D70" s="6">
        <f t="shared" si="2"/>
        <v>10.1206758109793</v>
      </c>
    </row>
    <row r="71" spans="1:4">
      <c r="A71" s="7">
        <f t="shared" si="4"/>
        <v>0.0198733155122707</v>
      </c>
      <c r="B71" s="6">
        <f t="shared" si="0"/>
        <v>-0.116622130353423</v>
      </c>
      <c r="C71" s="6">
        <f t="shared" si="1"/>
        <v>0.00542665081802163</v>
      </c>
      <c r="D71" s="6">
        <f t="shared" si="2"/>
        <v>10.1111954795354</v>
      </c>
    </row>
    <row r="72" spans="1:4">
      <c r="A72" s="7">
        <f t="shared" si="4"/>
        <v>0.0202788933798681</v>
      </c>
      <c r="B72" s="6">
        <f t="shared" si="0"/>
        <v>-0.114732511164418</v>
      </c>
      <c r="C72" s="6">
        <f t="shared" si="1"/>
        <v>0.0129305450813728</v>
      </c>
      <c r="D72" s="6">
        <f t="shared" si="2"/>
        <v>10.101801966083</v>
      </c>
    </row>
    <row r="73" spans="1:4">
      <c r="A73" s="7">
        <f t="shared" si="4"/>
        <v>0.0206844712474654</v>
      </c>
      <c r="B73" s="6">
        <f t="shared" si="0"/>
        <v>-0.111483849123586</v>
      </c>
      <c r="C73" s="6">
        <f t="shared" si="1"/>
        <v>0.0188648479907751</v>
      </c>
      <c r="D73" s="6">
        <f t="shared" si="2"/>
        <v>10.0926190011328</v>
      </c>
    </row>
    <row r="74" spans="1:4">
      <c r="A74" s="7">
        <f t="shared" si="4"/>
        <v>0.0210900491150628</v>
      </c>
      <c r="B74" s="6">
        <f t="shared" si="0"/>
        <v>-0.107173897996845</v>
      </c>
      <c r="C74" s="6">
        <f t="shared" si="1"/>
        <v>0.0234294239745658</v>
      </c>
      <c r="D74" s="6">
        <f t="shared" si="2"/>
        <v>10.0837444740223</v>
      </c>
    </row>
    <row r="75" spans="1:4">
      <c r="A75" s="7">
        <f t="shared" si="4"/>
        <v>0.0214956269826602</v>
      </c>
      <c r="B75" s="6">
        <f t="shared" si="0"/>
        <v>-0.102061538611376</v>
      </c>
      <c r="C75" s="6">
        <f t="shared" si="1"/>
        <v>0.026807818013733</v>
      </c>
      <c r="D75" s="6">
        <f t="shared" si="2"/>
        <v>10.0752537205976</v>
      </c>
    </row>
    <row r="76" spans="1:4">
      <c r="A76" s="7">
        <f t="shared" si="4"/>
        <v>0.0219012048502575</v>
      </c>
      <c r="B76" s="6">
        <f t="shared" si="0"/>
        <v>-0.0963700648353305</v>
      </c>
      <c r="C76" s="6">
        <f t="shared" si="1"/>
        <v>0.0291675220592307</v>
      </c>
      <c r="D76" s="6">
        <f t="shared" si="2"/>
        <v>10.0672025427761</v>
      </c>
    </row>
    <row r="77" spans="1:4">
      <c r="A77" s="7">
        <f t="shared" si="4"/>
        <v>0.0223067827178549</v>
      </c>
      <c r="B77" s="6">
        <f t="shared" si="0"/>
        <v>-0.0902903955366014</v>
      </c>
      <c r="C77" s="6">
        <f t="shared" si="1"/>
        <v>0.030660431230416</v>
      </c>
      <c r="D77" s="6">
        <f t="shared" si="2"/>
        <v>10.0596299643062</v>
      </c>
    </row>
    <row r="78" spans="1:4">
      <c r="A78" s="7">
        <f t="shared" si="4"/>
        <v>0.0227123605854523</v>
      </c>
      <c r="B78" s="6">
        <f t="shared" si="0"/>
        <v>-0.0839841783506694</v>
      </c>
      <c r="C78" s="6">
        <f t="shared" si="1"/>
        <v>0.031423448177387</v>
      </c>
      <c r="D78" s="6">
        <f t="shared" si="2"/>
        <v>10.0525607301733</v>
      </c>
    </row>
    <row r="79" spans="1:4">
      <c r="A79" s="7">
        <f t="shared" si="4"/>
        <v>0.0231179384530496</v>
      </c>
      <c r="B79" s="6">
        <f t="shared" si="0"/>
        <v>-0.0775867589680565</v>
      </c>
      <c r="C79" s="6">
        <f t="shared" si="1"/>
        <v>0.0315791994260355</v>
      </c>
      <c r="D79" s="6">
        <f t="shared" si="2"/>
        <v>10.046007559542</v>
      </c>
    </row>
    <row r="80" spans="1:4">
      <c r="A80" s="7">
        <f t="shared" si="4"/>
        <v>0.023523516320647</v>
      </c>
      <c r="B80" s="6">
        <f t="shared" si="0"/>
        <v>-0.0712099964768252</v>
      </c>
      <c r="C80" s="6">
        <f t="shared" si="1"/>
        <v>0.0312368325005448</v>
      </c>
      <c r="D80" s="6">
        <f t="shared" si="2"/>
        <v>10.0399731639763</v>
      </c>
    </row>
    <row r="81" spans="1:4">
      <c r="A81" s="7">
        <f t="shared" si="4"/>
        <v>0.0239290941882443</v>
      </c>
      <c r="B81" s="6">
        <f t="shared" si="0"/>
        <v>-0.0649449111571807</v>
      </c>
      <c r="C81" s="6">
        <f t="shared" si="1"/>
        <v>0.0304928671447868</v>
      </c>
      <c r="D81" s="6">
        <f t="shared" si="2"/>
        <v>10.0344520440124</v>
      </c>
    </row>
    <row r="82" spans="1:4">
      <c r="A82" s="7">
        <f t="shared" si="4"/>
        <v>0.0243346720558417</v>
      </c>
      <c r="B82" s="6">
        <f t="shared" si="0"/>
        <v>-0.0588641561132024</v>
      </c>
      <c r="C82" s="6">
        <f t="shared" si="1"/>
        <v>0.0294320780566011</v>
      </c>
      <c r="D82" s="6">
        <f t="shared" si="2"/>
        <v>10.0294320780566</v>
      </c>
    </row>
    <row r="83" spans="1:4">
      <c r="A83" s="7">
        <f t="shared" si="4"/>
        <v>0.0247402499234391</v>
      </c>
      <c r="B83" s="6">
        <f t="shared" si="0"/>
        <v>-0.0530243083272567</v>
      </c>
      <c r="C83" s="6">
        <f t="shared" si="1"/>
        <v>0.0281283902259268</v>
      </c>
      <c r="D83" s="6">
        <f t="shared" si="2"/>
        <v>10.0248959181013</v>
      </c>
    </row>
    <row r="84" spans="1:4">
      <c r="A84" s="7">
        <f t="shared" si="4"/>
        <v>0.0251458277910364</v>
      </c>
      <c r="B84" s="6">
        <f t="shared" si="0"/>
        <v>-0.047467978217791</v>
      </c>
      <c r="C84" s="6">
        <f t="shared" si="1"/>
        <v>0.0266457712512285</v>
      </c>
      <c r="D84" s="6">
        <f t="shared" si="2"/>
        <v>10.0208222069666</v>
      </c>
    </row>
    <row r="85" spans="1:4">
      <c r="A85" s="7">
        <f t="shared" si="4"/>
        <v>0.0255514056586338</v>
      </c>
      <c r="B85" s="6">
        <f t="shared" si="0"/>
        <v>-0.0422257396485043</v>
      </c>
      <c r="C85" s="6">
        <f t="shared" si="1"/>
        <v>0.0250391079215486</v>
      </c>
      <c r="D85" s="6">
        <f t="shared" si="2"/>
        <v>10.017186631727</v>
      </c>
    </row>
    <row r="86" spans="1:4">
      <c r="A86" s="7">
        <f t="shared" si="4"/>
        <v>0.0259569835262312</v>
      </c>
      <c r="B86" s="6">
        <f t="shared" ref="B86:B149" si="5">(($B$8/($B$6*$B$13))*EXP(-$B$11*A86)*SIN($B$13*A86))*$B$5</f>
        <v>-0.0373178846489214</v>
      </c>
      <c r="C86" s="6">
        <f t="shared" ref="C86:C149" si="6">$B$8-B86-D86</f>
        <v>0.023355056918934</v>
      </c>
      <c r="D86" s="6">
        <f t="shared" ref="D86:D149" si="7">$B$8*(1-EXP(-$B$11*A86)*(COS($B$13*A86)+($B$11/$B$13)*SIN($B$13*A86)))</f>
        <v>10.01396282773</v>
      </c>
    </row>
    <row r="87" spans="1:4">
      <c r="A87" s="7">
        <f t="shared" ref="A87:A118" si="8">A86+$B$17</f>
        <v>0.0263625613938285</v>
      </c>
      <c r="B87" s="6">
        <f t="shared" si="5"/>
        <v>-0.0327560089307236</v>
      </c>
      <c r="C87" s="6">
        <f t="shared" si="6"/>
        <v>0.0216328617428694</v>
      </c>
      <c r="D87" s="6">
        <f t="shared" si="7"/>
        <v>10.0111231471879</v>
      </c>
    </row>
    <row r="88" spans="1:4">
      <c r="A88" s="7">
        <f t="shared" si="8"/>
        <v>0.0267681392614259</v>
      </c>
      <c r="B88" s="6">
        <f t="shared" si="5"/>
        <v>-0.0285444356831938</v>
      </c>
      <c r="C88" s="6">
        <f t="shared" si="6"/>
        <v>0.0199051299103861</v>
      </c>
      <c r="D88" s="6">
        <f t="shared" si="7"/>
        <v>10.0086393057728</v>
      </c>
    </row>
    <row r="89" spans="1:4">
      <c r="A89" s="7">
        <f t="shared" si="8"/>
        <v>0.0271737171290232</v>
      </c>
      <c r="B89" s="6">
        <f t="shared" si="5"/>
        <v>-0.0246814861620877</v>
      </c>
      <c r="C89" s="6">
        <f t="shared" si="6"/>
        <v>0.0181985661675039</v>
      </c>
      <c r="D89" s="6">
        <f t="shared" si="7"/>
        <v>10.0064829199946</v>
      </c>
    </row>
    <row r="90" spans="1:4">
      <c r="A90" s="7">
        <f t="shared" si="8"/>
        <v>0.0275792949966206</v>
      </c>
      <c r="B90" s="6">
        <f t="shared" si="5"/>
        <v>-0.0211606063013739</v>
      </c>
      <c r="C90" s="6">
        <f t="shared" si="6"/>
        <v>0.0165346588845079</v>
      </c>
      <c r="D90" s="6">
        <f t="shared" si="7"/>
        <v>10.0046259474169</v>
      </c>
    </row>
    <row r="91" spans="1:4">
      <c r="A91" s="7">
        <f t="shared" si="8"/>
        <v>0.027984872864218</v>
      </c>
      <c r="B91" s="6">
        <f t="shared" si="5"/>
        <v>-0.0179713590239238</v>
      </c>
      <c r="C91" s="6">
        <f t="shared" si="6"/>
        <v>0.0149303180225679</v>
      </c>
      <c r="D91" s="6">
        <f t="shared" si="7"/>
        <v>10.0030410410014</v>
      </c>
    </row>
    <row r="92" spans="1:4">
      <c r="A92" s="7">
        <f t="shared" si="8"/>
        <v>0.0283904507318153</v>
      </c>
      <c r="B92" s="6">
        <f t="shared" si="5"/>
        <v>-0.0151002921480291</v>
      </c>
      <c r="C92" s="6">
        <f t="shared" si="6"/>
        <v>0.0133984640752338</v>
      </c>
      <c r="D92" s="6">
        <f t="shared" si="7"/>
        <v>10.0017018280728</v>
      </c>
    </row>
    <row r="93" spans="1:4">
      <c r="A93" s="7">
        <f t="shared" si="8"/>
        <v>0.0287960285994127</v>
      </c>
      <c r="B93" s="6">
        <f t="shared" si="5"/>
        <v>-0.012531691819739</v>
      </c>
      <c r="C93" s="6">
        <f t="shared" si="6"/>
        <v>0.0119485682268259</v>
      </c>
      <c r="D93" s="6">
        <f t="shared" si="7"/>
        <v>10.0005831235929</v>
      </c>
    </row>
    <row r="94" spans="1:4">
      <c r="A94" s="7">
        <f t="shared" si="8"/>
        <v>0.0292016064670101</v>
      </c>
      <c r="B94" s="6">
        <f t="shared" si="5"/>
        <v>-0.0102482312804058</v>
      </c>
      <c r="C94" s="6">
        <f t="shared" si="6"/>
        <v>0.0105871446505006</v>
      </c>
      <c r="D94" s="6">
        <f t="shared" si="7"/>
        <v>9.9996610866299</v>
      </c>
    </row>
    <row r="95" spans="1:4">
      <c r="A95" s="7">
        <f t="shared" si="8"/>
        <v>0.0296071843346074</v>
      </c>
      <c r="B95" s="6">
        <f t="shared" si="5"/>
        <v>-0.00823152453451002</v>
      </c>
      <c r="C95" s="6">
        <f t="shared" si="6"/>
        <v>0.00931819641111886</v>
      </c>
      <c r="D95" s="6">
        <f t="shared" si="7"/>
        <v>9.99891332812339</v>
      </c>
    </row>
    <row r="96" spans="1:4">
      <c r="A96" s="7">
        <f t="shared" si="8"/>
        <v>0.0300127622022048</v>
      </c>
      <c r="B96" s="6">
        <f t="shared" si="5"/>
        <v>-0.00646259414114985</v>
      </c>
      <c r="C96" s="6">
        <f t="shared" si="6"/>
        <v>0.00814361685888088</v>
      </c>
      <c r="D96" s="6">
        <f t="shared" si="7"/>
        <v>9.99831897728227</v>
      </c>
    </row>
    <row r="97" spans="1:4">
      <c r="A97" s="7">
        <f t="shared" si="8"/>
        <v>0.0304183400698021</v>
      </c>
      <c r="B97" s="6">
        <f t="shared" si="5"/>
        <v>-0.00492226193646595</v>
      </c>
      <c r="C97" s="6">
        <f t="shared" si="6"/>
        <v>0.00706354871534565</v>
      </c>
      <c r="D97" s="6">
        <f t="shared" si="7"/>
        <v>9.99785871322112</v>
      </c>
    </row>
    <row r="98" spans="1:4">
      <c r="A98" s="7">
        <f t="shared" si="8"/>
        <v>0.0308239179373995</v>
      </c>
      <c r="B98" s="6">
        <f t="shared" si="5"/>
        <v>-0.00359147102359662</v>
      </c>
      <c r="C98" s="6">
        <f t="shared" si="6"/>
        <v>0.00607670327831045</v>
      </c>
      <c r="D98" s="6">
        <f t="shared" si="7"/>
        <v>9.99751476774529</v>
      </c>
    </row>
    <row r="99" spans="1:4">
      <c r="A99" s="7">
        <f t="shared" si="8"/>
        <v>0.0312294958049969</v>
      </c>
      <c r="B99" s="6">
        <f t="shared" si="5"/>
        <v>-0.00245154685851438</v>
      </c>
      <c r="C99" s="6">
        <f t="shared" si="6"/>
        <v>0.00518064231972204</v>
      </c>
      <c r="D99" s="6">
        <f t="shared" si="7"/>
        <v>9.99727090453879</v>
      </c>
    </row>
    <row r="100" spans="1:4">
      <c r="A100" s="7">
        <f t="shared" si="8"/>
        <v>0.0316350736725942</v>
      </c>
      <c r="B100" s="6">
        <f t="shared" si="5"/>
        <v>-0.0014844047287506</v>
      </c>
      <c r="C100" s="6">
        <f t="shared" si="6"/>
        <v>0.00437202533290915</v>
      </c>
      <c r="D100" s="6">
        <f t="shared" si="7"/>
        <v>9.99711237939584</v>
      </c>
    </row>
    <row r="101" spans="1:4">
      <c r="A101" s="7">
        <f t="shared" si="8"/>
        <v>0.0320406515401916</v>
      </c>
      <c r="B101" s="6">
        <f t="shared" si="5"/>
        <v>-0.000672710379700668</v>
      </c>
      <c r="C101" s="6">
        <f t="shared" si="6"/>
        <v>0.00364682481309409</v>
      </c>
      <c r="D101" s="6">
        <f t="shared" si="7"/>
        <v>9.99702588556661</v>
      </c>
    </row>
    <row r="102" spans="1:4">
      <c r="A102" s="7">
        <f t="shared" si="8"/>
        <v>0.0324462294077889</v>
      </c>
      <c r="B102" s="6">
        <f t="shared" si="5"/>
        <v>7.37924107933904e-17</v>
      </c>
      <c r="C102" s="6">
        <f t="shared" si="6"/>
        <v>0.00300051223780784</v>
      </c>
      <c r="D102" s="6">
        <f t="shared" si="7"/>
        <v>9.99699948776219</v>
      </c>
    </row>
    <row r="103" spans="1:4">
      <c r="A103" s="7">
        <f t="shared" si="8"/>
        <v>0.0328518072753863</v>
      </c>
      <c r="B103" s="6">
        <f t="shared" si="5"/>
        <v>0.000549234758391983</v>
      </c>
      <c r="C103" s="6">
        <f t="shared" si="6"/>
        <v>0.00242821736001808</v>
      </c>
      <c r="D103" s="6">
        <f t="shared" si="7"/>
        <v>9.99702254788159</v>
      </c>
    </row>
    <row r="104" spans="1:4">
      <c r="A104" s="7">
        <f t="shared" si="8"/>
        <v>0.0332573851429837</v>
      </c>
      <c r="B104" s="6">
        <f t="shared" si="5"/>
        <v>0.00098949157164556</v>
      </c>
      <c r="C104" s="6">
        <f t="shared" si="6"/>
        <v>0.00192486334392683</v>
      </c>
      <c r="D104" s="6">
        <f t="shared" si="7"/>
        <v>9.99708564508443</v>
      </c>
    </row>
    <row r="105" spans="1:4">
      <c r="A105" s="7">
        <f t="shared" si="8"/>
        <v>0.033662963010581</v>
      </c>
      <c r="B105" s="6">
        <f t="shared" si="5"/>
        <v>0.00133422739602211</v>
      </c>
      <c r="C105" s="6">
        <f t="shared" si="6"/>
        <v>0.00148528016833893</v>
      </c>
      <c r="D105" s="6">
        <f t="shared" si="7"/>
        <v>9.99718049243564</v>
      </c>
    </row>
    <row r="106" spans="1:4">
      <c r="A106" s="7">
        <f t="shared" si="8"/>
        <v>0.0340685408781784</v>
      </c>
      <c r="B106" s="6">
        <f t="shared" si="5"/>
        <v>0.00159584940890789</v>
      </c>
      <c r="C106" s="6">
        <f t="shared" si="6"/>
        <v>0.00110429860038508</v>
      </c>
      <c r="D106" s="6">
        <f t="shared" si="7"/>
        <v>9.99729985199071</v>
      </c>
    </row>
    <row r="107" spans="1:4">
      <c r="A107" s="7">
        <f t="shared" si="8"/>
        <v>0.0344741187457757</v>
      </c>
      <c r="B107" s="6">
        <f t="shared" si="5"/>
        <v>0.00178572322108045</v>
      </c>
      <c r="C107" s="6">
        <f t="shared" si="6"/>
        <v>0.000776826908722938</v>
      </c>
      <c r="D107" s="6">
        <f t="shared" si="7"/>
        <v>9.9974374498702</v>
      </c>
    </row>
    <row r="108" spans="1:4">
      <c r="A108" s="7">
        <f t="shared" si="8"/>
        <v>0.0348796966133731</v>
      </c>
      <c r="B108" s="6">
        <f t="shared" si="5"/>
        <v>0.0019141950679794</v>
      </c>
      <c r="C108" s="6">
        <f t="shared" si="6"/>
        <v>0.000497912343737639</v>
      </c>
      <c r="D108" s="6">
        <f t="shared" si="7"/>
        <v>9.99758789258828</v>
      </c>
    </row>
    <row r="109" spans="1:4">
      <c r="A109" s="7">
        <f t="shared" si="8"/>
        <v>0.0352852744809705</v>
      </c>
      <c r="B109" s="6">
        <f t="shared" si="5"/>
        <v>0.0019906250841956</v>
      </c>
      <c r="C109" s="6">
        <f t="shared" si="6"/>
        <v>0.00026278926665313</v>
      </c>
      <c r="D109" s="6">
        <f t="shared" si="7"/>
        <v>9.99774658564915</v>
      </c>
    </row>
    <row r="110" spans="1:4">
      <c r="A110" s="7">
        <f t="shared" si="8"/>
        <v>0.0356908523485678</v>
      </c>
      <c r="B110" s="6">
        <f t="shared" si="5"/>
        <v>0.00202342913212396</v>
      </c>
      <c r="C110" s="6">
        <f t="shared" si="6"/>
        <v>6.6915662571887e-5</v>
      </c>
      <c r="D110" s="6">
        <f t="shared" si="7"/>
        <v>9.9979096552053</v>
      </c>
    </row>
    <row r="111" spans="1:4">
      <c r="A111" s="7">
        <f t="shared" si="8"/>
        <v>0.0360964302161652</v>
      </c>
      <c r="B111" s="6">
        <f t="shared" si="5"/>
        <v>0.00202012699274535</v>
      </c>
      <c r="C111" s="6">
        <f t="shared" si="6"/>
        <v>-9.40003733802541e-5</v>
      </c>
      <c r="D111" s="6">
        <f t="shared" si="7"/>
        <v>9.99807387338064</v>
      </c>
    </row>
    <row r="112" spans="1:4">
      <c r="A112" s="7">
        <f t="shared" si="8"/>
        <v>0.0365020080837625</v>
      </c>
      <c r="B112" s="6">
        <f t="shared" si="5"/>
        <v>0.00198739503425556</v>
      </c>
      <c r="C112" s="6">
        <f t="shared" si="6"/>
        <v>-0.000223982730126693</v>
      </c>
      <c r="D112" s="6">
        <f t="shared" si="7"/>
        <v>9.99823658769587</v>
      </c>
    </row>
    <row r="113" spans="1:4">
      <c r="A113" s="7">
        <f t="shared" si="8"/>
        <v>0.0369075859513599</v>
      </c>
      <c r="B113" s="6">
        <f t="shared" si="5"/>
        <v>0.00193112175354028</v>
      </c>
      <c r="C113" s="6">
        <f t="shared" si="6"/>
        <v>-0.000326776646289773</v>
      </c>
      <c r="D113" s="6">
        <f t="shared" si="7"/>
        <v>9.99839565489275</v>
      </c>
    </row>
    <row r="114" spans="1:4">
      <c r="A114" s="7">
        <f t="shared" si="8"/>
        <v>0.0373131638189573</v>
      </c>
      <c r="B114" s="6">
        <f t="shared" si="5"/>
        <v>0.00185646483737731</v>
      </c>
      <c r="C114" s="6">
        <f t="shared" si="6"/>
        <v>-0.000405844170845882</v>
      </c>
      <c r="D114" s="6">
        <f t="shared" si="7"/>
        <v>9.99854937933347</v>
      </c>
    </row>
    <row r="115" spans="1:4">
      <c r="A115" s="7">
        <f t="shared" si="8"/>
        <v>0.0377187416865546</v>
      </c>
      <c r="B115" s="6">
        <f t="shared" si="5"/>
        <v>0.00176790861601604</v>
      </c>
      <c r="C115" s="6">
        <f t="shared" si="6"/>
        <v>-0.000464364667513095</v>
      </c>
      <c r="D115" s="6">
        <f t="shared" si="7"/>
        <v>9.9986964560515</v>
      </c>
    </row>
    <row r="116" spans="1:4">
      <c r="A116" s="7">
        <f t="shared" si="8"/>
        <v>0.038124319554152</v>
      </c>
      <c r="B116" s="6">
        <f t="shared" si="5"/>
        <v>0.00166932098287429</v>
      </c>
      <c r="C116" s="6">
        <f t="shared" si="6"/>
        <v>-0.00050523942964098</v>
      </c>
      <c r="D116" s="6">
        <f t="shared" si="7"/>
        <v>9.99883591844677</v>
      </c>
    </row>
    <row r="117" spans="1:4">
      <c r="A117" s="7">
        <f t="shared" si="8"/>
        <v>0.0385298974217493</v>
      </c>
      <c r="B117" s="6">
        <f t="shared" si="5"/>
        <v>0.00156400903204551</v>
      </c>
      <c r="C117" s="6">
        <f t="shared" si="6"/>
        <v>-0.00053109958247255</v>
      </c>
      <c r="D117" s="6">
        <f t="shared" si="7"/>
        <v>9.99896709055043</v>
      </c>
    </row>
    <row r="118" spans="1:4">
      <c r="A118" s="7">
        <f t="shared" si="8"/>
        <v>0.0389354752893467</v>
      </c>
      <c r="B118" s="6">
        <f t="shared" si="5"/>
        <v>0.00145477282172411</v>
      </c>
      <c r="C118" s="6">
        <f t="shared" si="6"/>
        <v>-0.00054431655189191</v>
      </c>
      <c r="D118" s="6">
        <f t="shared" si="7"/>
        <v>9.99908954373017</v>
      </c>
    </row>
    <row r="119" spans="1:4">
      <c r="A119" s="7">
        <f t="shared" ref="A119:A150" si="9">A118+$B$17</f>
        <v>0.0393410531569441</v>
      </c>
      <c r="B119" s="6">
        <f t="shared" si="5"/>
        <v>0.00134395680816336</v>
      </c>
      <c r="C119" s="6">
        <f t="shared" si="6"/>
        <v>-0.000547014472951801</v>
      </c>
      <c r="D119" s="6">
        <f t="shared" si="7"/>
        <v>9.99920305766479</v>
      </c>
    </row>
    <row r="120" spans="1:4">
      <c r="A120" s="7">
        <f t="shared" si="9"/>
        <v>0.0397466310245414</v>
      </c>
      <c r="B120" s="6">
        <f t="shared" si="5"/>
        <v>0.00123349861300072</v>
      </c>
      <c r="C120" s="6">
        <f t="shared" si="6"/>
        <v>-0.000541083997616099</v>
      </c>
      <c r="D120" s="6">
        <f t="shared" si="7"/>
        <v>9.99930758538462</v>
      </c>
    </row>
    <row r="121" spans="1:4">
      <c r="A121" s="7">
        <f t="shared" si="9"/>
        <v>0.0401522088921388</v>
      </c>
      <c r="B121" s="6">
        <f t="shared" si="5"/>
        <v>0.00112497488832074</v>
      </c>
      <c r="C121" s="6">
        <f t="shared" si="6"/>
        <v>-0.000528197039606937</v>
      </c>
      <c r="D121" s="6">
        <f t="shared" si="7"/>
        <v>9.99940322215129</v>
      </c>
    </row>
    <row r="122" spans="1:4">
      <c r="A122" s="7">
        <f t="shared" si="9"/>
        <v>0.0405577867597361</v>
      </c>
      <c r="B122" s="6">
        <f t="shared" si="5"/>
        <v>0.00101964413022718</v>
      </c>
      <c r="C122" s="6">
        <f t="shared" si="6"/>
        <v>-0.000509822065113852</v>
      </c>
      <c r="D122" s="6">
        <f t="shared" si="7"/>
        <v>9.99949017793489</v>
      </c>
    </row>
    <row r="123" spans="1:4">
      <c r="A123" s="7">
        <f t="shared" si="9"/>
        <v>0.0409633646273335</v>
      </c>
      <c r="B123" s="6">
        <f t="shared" si="5"/>
        <v>0.000918486364456982</v>
      </c>
      <c r="C123" s="6">
        <f t="shared" si="6"/>
        <v>-0.000487239601829614</v>
      </c>
      <c r="D123" s="6">
        <f t="shared" si="7"/>
        <v>9.99956875323737</v>
      </c>
    </row>
    <row r="124" spans="1:4">
      <c r="A124" s="7">
        <f t="shared" si="9"/>
        <v>0.0413689424949309</v>
      </c>
      <c r="B124" s="6">
        <f t="shared" si="5"/>
        <v>0.000822239688112454</v>
      </c>
      <c r="C124" s="6">
        <f t="shared" si="6"/>
        <v>-0.000461557695645709</v>
      </c>
      <c r="D124" s="6">
        <f t="shared" si="7"/>
        <v>9.99963931800753</v>
      </c>
    </row>
    <row r="125" spans="1:4">
      <c r="A125" s="7">
        <f t="shared" si="9"/>
        <v>0.0417745203625282</v>
      </c>
      <c r="B125" s="6">
        <f t="shared" si="5"/>
        <v>0.000731433701254436</v>
      </c>
      <c r="C125" s="6">
        <f t="shared" si="6"/>
        <v>-0.000433727094792502</v>
      </c>
      <c r="D125" s="6">
        <f t="shared" si="7"/>
        <v>9.99970229339354</v>
      </c>
    </row>
    <row r="126" spans="1:4">
      <c r="A126" s="7">
        <f t="shared" si="9"/>
        <v>0.0421800982301256</v>
      </c>
      <c r="B126" s="6">
        <f t="shared" si="5"/>
        <v>0.000646419902148797</v>
      </c>
      <c r="C126" s="6">
        <f t="shared" si="6"/>
        <v>-0.000404555985694444</v>
      </c>
      <c r="D126" s="6">
        <f t="shared" si="7"/>
        <v>9.99975813608355</v>
      </c>
    </row>
    <row r="127" spans="1:4">
      <c r="A127" s="7">
        <f t="shared" si="9"/>
        <v>0.0425856760977229</v>
      </c>
      <c r="B127" s="6">
        <f t="shared" si="5"/>
        <v>0.000567399151559238</v>
      </c>
      <c r="C127" s="6">
        <f t="shared" si="6"/>
        <v>-0.000374724143734184</v>
      </c>
      <c r="D127" s="6">
        <f t="shared" si="7"/>
        <v>9.99980732499217</v>
      </c>
    </row>
    <row r="128" spans="1:4">
      <c r="A128" s="7">
        <f t="shared" si="9"/>
        <v>0.0429912539653203</v>
      </c>
      <c r="B128" s="6">
        <f t="shared" si="5"/>
        <v>0.000494446335713086</v>
      </c>
      <c r="C128" s="6">
        <f t="shared" si="6"/>
        <v>-0.000344796395882696</v>
      </c>
      <c r="D128" s="6">
        <f t="shared" si="7"/>
        <v>9.99985035006017</v>
      </c>
    </row>
    <row r="129" spans="1:4">
      <c r="A129" s="7">
        <f t="shared" si="9"/>
        <v>0.0433968318329176</v>
      </c>
      <c r="B129" s="6">
        <f t="shared" si="5"/>
        <v>0.000427532375424845</v>
      </c>
      <c r="C129" s="6">
        <f t="shared" si="6"/>
        <v>-0.000315235321400209</v>
      </c>
      <c r="D129" s="6">
        <f t="shared" si="7"/>
        <v>9.99988770294597</v>
      </c>
    </row>
    <row r="130" spans="1:4">
      <c r="A130" s="7">
        <f t="shared" si="9"/>
        <v>0.043802409700515</v>
      </c>
      <c r="B130" s="6">
        <f t="shared" si="5"/>
        <v>0.000366543741249782</v>
      </c>
      <c r="C130" s="6">
        <f t="shared" si="6"/>
        <v>-0.00028641314154676</v>
      </c>
      <c r="D130" s="6">
        <f t="shared" si="7"/>
        <v>9.9999198694003</v>
      </c>
    </row>
    <row r="131" spans="1:4">
      <c r="A131" s="7">
        <f t="shared" si="9"/>
        <v>0.0442079875681124</v>
      </c>
      <c r="B131" s="6">
        <f t="shared" si="5"/>
        <v>0.000311299642276524</v>
      </c>
      <c r="C131" s="6">
        <f t="shared" si="6"/>
        <v>-0.00025862277044908</v>
      </c>
      <c r="D131" s="6">
        <f t="shared" si="7"/>
        <v>9.99994732312817</v>
      </c>
    </row>
    <row r="132" spans="1:4">
      <c r="A132" s="7">
        <f t="shared" si="9"/>
        <v>0.0446135654357097</v>
      </c>
      <c r="B132" s="6">
        <f t="shared" si="5"/>
        <v>0.000261567059992225</v>
      </c>
      <c r="C132" s="6">
        <f t="shared" si="6"/>
        <v>-0.000232088016721477</v>
      </c>
      <c r="D132" s="6">
        <f t="shared" si="7"/>
        <v>9.99997052095673</v>
      </c>
    </row>
    <row r="133" spans="1:4">
      <c r="A133" s="7">
        <f t="shared" si="9"/>
        <v>0.0450191433033071</v>
      </c>
      <c r="B133" s="6">
        <f t="shared" si="5"/>
        <v>0.000217073799227493</v>
      </c>
      <c r="C133" s="6">
        <f t="shared" si="6"/>
        <v>-0.000206972940096861</v>
      </c>
      <c r="D133" s="6">
        <f t="shared" si="7"/>
        <v>9.99998989914087</v>
      </c>
    </row>
    <row r="134" spans="1:4">
      <c r="A134" s="7">
        <f t="shared" si="9"/>
        <v>0.0454247211709044</v>
      </c>
      <c r="B134" s="6">
        <f t="shared" si="5"/>
        <v>0.000177519726099206</v>
      </c>
      <c r="C134" s="6">
        <f t="shared" si="6"/>
        <v>-0.00018339037899473</v>
      </c>
      <c r="D134" s="6">
        <f t="shared" si="7"/>
        <v>10.0000058706529</v>
      </c>
    </row>
    <row r="135" spans="1:4">
      <c r="A135" s="7">
        <f t="shared" si="9"/>
        <v>0.0458302990385018</v>
      </c>
      <c r="B135" s="6">
        <f t="shared" si="5"/>
        <v>0.000142586358637221</v>
      </c>
      <c r="C135" s="6">
        <f t="shared" si="6"/>
        <v>-0.000161409674447555</v>
      </c>
      <c r="D135" s="6">
        <f t="shared" si="7"/>
        <v>10.0000188233158</v>
      </c>
    </row>
    <row r="136" spans="1:4">
      <c r="A136" s="7">
        <f t="shared" si="9"/>
        <v>0.0462358769060992</v>
      </c>
      <c r="B136" s="6">
        <f t="shared" si="5"/>
        <v>0.000111944969862335</v>
      </c>
      <c r="C136" s="6">
        <f t="shared" si="6"/>
        <v>-0.00014106362304922</v>
      </c>
      <c r="D136" s="6">
        <f t="shared" si="7"/>
        <v>10.0000291186532</v>
      </c>
    </row>
    <row r="137" spans="1:4">
      <c r="A137" s="7">
        <f t="shared" si="9"/>
        <v>0.0466414547736965</v>
      </c>
      <c r="B137" s="6">
        <f t="shared" si="5"/>
        <v>8.52633558749467e-5</v>
      </c>
      <c r="C137" s="6">
        <f t="shared" si="6"/>
        <v>-0.000122354697012383</v>
      </c>
      <c r="D137" s="6">
        <f t="shared" si="7"/>
        <v>10.0000370913411</v>
      </c>
    </row>
    <row r="138" spans="1:4">
      <c r="A138" s="7">
        <f t="shared" si="9"/>
        <v>0.0470470326412939</v>
      </c>
      <c r="B138" s="6">
        <f t="shared" si="5"/>
        <v>6.22114133607727e-5</v>
      </c>
      <c r="C138" s="6">
        <f t="shared" si="6"/>
        <v>-0.000105260573462829</v>
      </c>
      <c r="D138" s="6">
        <f t="shared" si="7"/>
        <v>10.0000430491601</v>
      </c>
    </row>
    <row r="139" spans="1:4">
      <c r="A139" s="7">
        <f t="shared" si="9"/>
        <v>0.0474526105088912</v>
      </c>
      <c r="B139" s="6">
        <f t="shared" si="5"/>
        <v>4.24656621162469e-5</v>
      </c>
      <c r="C139" s="6">
        <f t="shared" si="6"/>
        <v>-8.97390174419144e-5</v>
      </c>
      <c r="D139" s="6">
        <f t="shared" si="7"/>
        <v>10.0000472733553</v>
      </c>
    </row>
    <row r="140" spans="1:4">
      <c r="A140" s="7">
        <f t="shared" si="9"/>
        <v>0.0478581883764886</v>
      </c>
      <c r="B140" s="6">
        <f t="shared" si="5"/>
        <v>2.57128389922287e-5</v>
      </c>
      <c r="C140" s="6">
        <f t="shared" si="6"/>
        <v>-7.57321647384401e-5</v>
      </c>
      <c r="D140" s="6">
        <f t="shared" si="7"/>
        <v>10.0000500193257</v>
      </c>
    </row>
    <row r="141" spans="1:4">
      <c r="A141" s="7">
        <f t="shared" si="9"/>
        <v>0.048263766244086</v>
      </c>
      <c r="B141" s="6">
        <f t="shared" si="5"/>
        <v>1.16526802607298e-5</v>
      </c>
      <c r="C141" s="6">
        <f t="shared" si="6"/>
        <v>-6.31702509679144e-5</v>
      </c>
      <c r="D141" s="6">
        <f t="shared" si="7"/>
        <v>10.0000515175707</v>
      </c>
    </row>
    <row r="142" spans="1:4">
      <c r="A142" s="7">
        <f t="shared" si="9"/>
        <v>0.0486693441116833</v>
      </c>
      <c r="B142" s="6">
        <f t="shared" si="5"/>
        <v>7.64476865430027e-19</v>
      </c>
      <c r="C142" s="6">
        <f t="shared" si="6"/>
        <v>-5.19748331235803e-5</v>
      </c>
      <c r="D142" s="6">
        <f t="shared" si="7"/>
        <v>10.0000519748331</v>
      </c>
    </row>
    <row r="143" spans="1:4">
      <c r="A143" s="7">
        <f t="shared" si="9"/>
        <v>0.0490749219792807</v>
      </c>
      <c r="B143" s="6">
        <f t="shared" si="5"/>
        <v>-9.51383718869649e-6</v>
      </c>
      <c r="C143" s="6">
        <f t="shared" si="6"/>
        <v>-4.20615488536669e-5</v>
      </c>
      <c r="D143" s="6">
        <f t="shared" si="7"/>
        <v>10.000051575386</v>
      </c>
    </row>
    <row r="144" spans="1:4">
      <c r="A144" s="7">
        <f t="shared" si="9"/>
        <v>0.049480499846878</v>
      </c>
      <c r="B144" s="6">
        <f t="shared" si="5"/>
        <v>-1.71399598593972e-5</v>
      </c>
      <c r="C144" s="6">
        <f t="shared" si="6"/>
        <v>-3.33424572751539e-5</v>
      </c>
      <c r="D144" s="6">
        <f t="shared" si="7"/>
        <v>10.0000504824171</v>
      </c>
    </row>
    <row r="145" spans="1:4">
      <c r="A145" s="7">
        <f t="shared" si="9"/>
        <v>0.0498860777144754</v>
      </c>
      <c r="B145" s="6">
        <f t="shared" si="5"/>
        <v>-2.31114692296938e-5</v>
      </c>
      <c r="C145" s="6">
        <f t="shared" si="6"/>
        <v>-2.57280033455487e-5</v>
      </c>
      <c r="D145" s="6">
        <f t="shared" si="7"/>
        <v>10.0000488394726</v>
      </c>
    </row>
    <row r="146" spans="1:4">
      <c r="A146" s="7">
        <f t="shared" si="9"/>
        <v>0.0502916555820728</v>
      </c>
      <c r="B146" s="6">
        <f t="shared" si="5"/>
        <v>-2.76432822614513e-5</v>
      </c>
      <c r="C146" s="6">
        <f t="shared" si="6"/>
        <v>-1.91286456878714e-5</v>
      </c>
      <c r="D146" s="6">
        <f t="shared" si="7"/>
        <v>10.0000467719279</v>
      </c>
    </row>
    <row r="147" spans="1:4">
      <c r="A147" s="7">
        <f t="shared" si="9"/>
        <v>0.0506972334496701</v>
      </c>
      <c r="B147" s="6">
        <f t="shared" si="5"/>
        <v>-3.09322739135748e-5</v>
      </c>
      <c r="C147" s="6">
        <f t="shared" si="6"/>
        <v>-1.3456185392613e-5</v>
      </c>
      <c r="D147" s="6">
        <f t="shared" si="7"/>
        <v>10.0000443884593</v>
      </c>
    </row>
    <row r="148" spans="1:4">
      <c r="A148" s="7">
        <f t="shared" si="9"/>
        <v>0.0511028113172675</v>
      </c>
      <c r="B148" s="6">
        <f t="shared" si="5"/>
        <v>-3.31576615389075e-5</v>
      </c>
      <c r="C148" s="6">
        <f t="shared" si="6"/>
        <v>-8.62483100405598e-6</v>
      </c>
      <c r="D148" s="6">
        <f t="shared" si="7"/>
        <v>10.0000417824925</v>
      </c>
    </row>
    <row r="149" spans="1:4">
      <c r="A149" s="7">
        <f t="shared" si="9"/>
        <v>0.0515083891848648</v>
      </c>
      <c r="B149" s="6">
        <f t="shared" si="5"/>
        <v>-3.44815812644898e-5</v>
      </c>
      <c r="C149" s="6">
        <f t="shared" si="6"/>
        <v>-4.55203218585609e-6</v>
      </c>
      <c r="D149" s="6">
        <f t="shared" si="7"/>
        <v>10.0000390336135</v>
      </c>
    </row>
    <row r="150" spans="1:4">
      <c r="A150" s="7">
        <f t="shared" si="9"/>
        <v>0.0519139670524622</v>
      </c>
      <c r="B150" s="6">
        <f t="shared" ref="B150:B213" si="10">(($B$8/($B$6*$B$13))*EXP(-$B$11*A150)*SIN($B$13*A150))*$B$5</f>
        <v>-3.50498125469282e-5</v>
      </c>
      <c r="C150" s="6">
        <f t="shared" ref="C150:C213" si="11">$B$8-B150-D150</f>
        <v>-1.15911221776344e-6</v>
      </c>
      <c r="D150" s="6">
        <f t="shared" ref="D150:D213" si="12">$B$8*(1-EXP(-$B$11*A150)*(COS($B$13*A150)+($B$11/$B$13)*SIN($B$13*A150)))</f>
        <v>10.0000362089248</v>
      </c>
    </row>
    <row r="151" spans="1:4">
      <c r="A151" s="7">
        <f t="shared" ref="A151:A182" si="13">A150+$B$17</f>
        <v>0.0523195449200596</v>
      </c>
      <c r="B151" s="6">
        <f t="shared" si="10"/>
        <v>-3.49926129324784e-5</v>
      </c>
      <c r="C151" s="6">
        <f t="shared" si="11"/>
        <v>1.62827321759096e-6</v>
      </c>
      <c r="D151" s="6">
        <f t="shared" si="12"/>
        <v>10.0000333643397</v>
      </c>
    </row>
    <row r="152" spans="1:4">
      <c r="A152" s="7">
        <f t="shared" si="13"/>
        <v>0.0527251227876569</v>
      </c>
      <c r="B152" s="6">
        <f t="shared" si="10"/>
        <v>-3.44256303823376e-5</v>
      </c>
      <c r="C152" s="6">
        <f t="shared" si="11"/>
        <v>3.87982587568558e-6</v>
      </c>
      <c r="D152" s="6">
        <f t="shared" si="12"/>
        <v>10.0000305458045</v>
      </c>
    </row>
    <row r="153" spans="1:4">
      <c r="A153" s="7">
        <f t="shared" si="13"/>
        <v>0.0531307006552543</v>
      </c>
      <c r="B153" s="6">
        <f t="shared" si="10"/>
        <v>-3.34508653613355e-5</v>
      </c>
      <c r="C153" s="6">
        <f t="shared" si="11"/>
        <v>5.66042072769335e-6</v>
      </c>
      <c r="D153" s="6">
        <f t="shared" si="12"/>
        <v>10.0000277904446</v>
      </c>
    </row>
    <row r="154" spans="1:4">
      <c r="A154" s="7">
        <f t="shared" si="13"/>
        <v>0.0535362785228516</v>
      </c>
      <c r="B154" s="6">
        <f t="shared" si="10"/>
        <v>-3.21576592513212e-5</v>
      </c>
      <c r="C154" s="6">
        <f t="shared" si="11"/>
        <v>7.03002733715152e-6</v>
      </c>
      <c r="D154" s="6">
        <f t="shared" si="12"/>
        <v>10.0000251276319</v>
      </c>
    </row>
    <row r="155" spans="1:4">
      <c r="A155" s="7">
        <f t="shared" si="13"/>
        <v>0.053941856390449</v>
      </c>
      <c r="B155" s="6">
        <f t="shared" si="10"/>
        <v>-3.06236895613035e-5</v>
      </c>
      <c r="C155" s="6">
        <f t="shared" si="11"/>
        <v>8.04371860141373e-6</v>
      </c>
      <c r="D155" s="6">
        <f t="shared" si="12"/>
        <v>10.000022579971</v>
      </c>
    </row>
    <row r="156" spans="1:4">
      <c r="A156" s="7">
        <f t="shared" si="13"/>
        <v>0.0543474342580463</v>
      </c>
      <c r="B156" s="6">
        <f t="shared" si="10"/>
        <v>-2.89159558896843e-5</v>
      </c>
      <c r="C156" s="6">
        <f t="shared" si="11"/>
        <v>8.75175068770773e-6</v>
      </c>
      <c r="D156" s="6">
        <f t="shared" si="12"/>
        <v>10.0000201642052</v>
      </c>
    </row>
    <row r="157" spans="1:4">
      <c r="A157" s="7">
        <f t="shared" si="13"/>
        <v>0.0547530121256437</v>
      </c>
      <c r="B157" s="6">
        <f t="shared" si="10"/>
        <v>-2.70917436764176e-5</v>
      </c>
      <c r="C157" s="6">
        <f t="shared" si="11"/>
        <v>9.19969991208802e-6</v>
      </c>
      <c r="D157" s="6">
        <f t="shared" si="12"/>
        <v>10.0000178920438</v>
      </c>
    </row>
    <row r="158" spans="1:4">
      <c r="A158" s="7">
        <f t="shared" si="13"/>
        <v>0.0551585899932411</v>
      </c>
      <c r="B158" s="6">
        <f t="shared" si="10"/>
        <v>-2.51995554923507e-5</v>
      </c>
      <c r="C158" s="6">
        <f t="shared" si="11"/>
        <v>9.42864408060018e-6</v>
      </c>
      <c r="D158" s="6">
        <f t="shared" si="12"/>
        <v>10.0000157709114</v>
      </c>
    </row>
    <row r="159" spans="1:4">
      <c r="A159" s="7">
        <f t="shared" si="13"/>
        <v>0.0555641678608384</v>
      </c>
      <c r="B159" s="6">
        <f t="shared" si="10"/>
        <v>-2.32800019775582e-5</v>
      </c>
      <c r="C159" s="6">
        <f t="shared" si="11"/>
        <v>9.47537743378746e-6</v>
      </c>
      <c r="D159" s="6">
        <f t="shared" si="12"/>
        <v>10.0000138046245</v>
      </c>
    </row>
    <row r="160" spans="1:4">
      <c r="A160" s="7">
        <f t="shared" si="13"/>
        <v>0.0559697457284358</v>
      </c>
      <c r="B160" s="6">
        <f t="shared" si="10"/>
        <v>-2.13666465883042e-5</v>
      </c>
      <c r="C160" s="6">
        <f t="shared" si="11"/>
        <v>9.37264982070474e-6</v>
      </c>
      <c r="D160" s="6">
        <f t="shared" si="12"/>
        <v>10.0000119939968</v>
      </c>
    </row>
    <row r="161" spans="1:4">
      <c r="A161" s="7">
        <f t="shared" si="13"/>
        <v>0.0563753235960331</v>
      </c>
      <c r="B161" s="6">
        <f t="shared" si="10"/>
        <v>-1.94868000710532e-5</v>
      </c>
      <c r="C161" s="6">
        <f t="shared" si="11"/>
        <v>9.14942210350489e-6</v>
      </c>
      <c r="D161" s="6">
        <f t="shared" si="12"/>
        <v>10.000010337378</v>
      </c>
    </row>
    <row r="162" spans="1:4">
      <c r="A162" s="7">
        <f t="shared" si="13"/>
        <v>0.0567809014636305</v>
      </c>
      <c r="B162" s="6">
        <f t="shared" si="10"/>
        <v>-1.76622620785957e-5</v>
      </c>
      <c r="C162" s="6">
        <f t="shared" si="11"/>
        <v>8.83113103711253e-6</v>
      </c>
      <c r="D162" s="6">
        <f t="shared" si="12"/>
        <v>10.000008831131</v>
      </c>
    </row>
    <row r="163" spans="1:4">
      <c r="A163" s="7">
        <f t="shared" si="13"/>
        <v>0.0571864793312279</v>
      </c>
      <c r="B163" s="6">
        <f t="shared" si="10"/>
        <v>-1.59100086037287e-5</v>
      </c>
      <c r="C163" s="6">
        <f t="shared" si="11"/>
        <v>8.43995790944518e-6</v>
      </c>
      <c r="D163" s="6">
        <f t="shared" si="12"/>
        <v>10.0000074700507</v>
      </c>
    </row>
    <row r="164" spans="1:4">
      <c r="A164" s="7">
        <f t="shared" si="13"/>
        <v>0.0575920571988252</v>
      </c>
      <c r="B164" s="6">
        <f t="shared" si="10"/>
        <v>-1.42428249546529e-5</v>
      </c>
      <c r="C164" s="6">
        <f t="shared" si="11"/>
        <v>7.99509627391615e-6</v>
      </c>
      <c r="D164" s="6">
        <f t="shared" si="12"/>
        <v>10.0000062477287</v>
      </c>
    </row>
    <row r="165" spans="1:4">
      <c r="A165" s="7">
        <f t="shared" si="13"/>
        <v>0.0579976350664226</v>
      </c>
      <c r="B165" s="6">
        <f t="shared" si="10"/>
        <v>-1.26698848565871e-5</v>
      </c>
      <c r="C165" s="6">
        <f t="shared" si="11"/>
        <v>7.51301497459167e-6</v>
      </c>
      <c r="D165" s="6">
        <f t="shared" si="12"/>
        <v>10.0000051568699</v>
      </c>
    </row>
    <row r="166" spans="1:4">
      <c r="A166" s="7">
        <f t="shared" si="13"/>
        <v>0.0584032129340199</v>
      </c>
      <c r="B166" s="6">
        <f t="shared" si="10"/>
        <v>-1.11972769578231e-5</v>
      </c>
      <c r="C166" s="6">
        <f t="shared" si="11"/>
        <v>7.00771341044515e-6</v>
      </c>
      <c r="D166" s="6">
        <f t="shared" si="12"/>
        <v>10.0000041895635</v>
      </c>
    </row>
    <row r="167" spans="1:4">
      <c r="A167" s="7">
        <f t="shared" si="13"/>
        <v>0.0588087908016173</v>
      </c>
      <c r="B167" s="6">
        <f t="shared" si="10"/>
        <v>-9.82848056584152e-6</v>
      </c>
      <c r="C167" s="6">
        <f t="shared" si="11"/>
        <v>6.49096664062654e-6</v>
      </c>
      <c r="D167" s="6">
        <f t="shared" si="12"/>
        <v>10.0000033375139</v>
      </c>
    </row>
    <row r="168" spans="1:4">
      <c r="A168" s="7">
        <f t="shared" si="13"/>
        <v>0.0592143686692147</v>
      </c>
      <c r="B168" s="6">
        <f t="shared" si="10"/>
        <v>-8.56479285887734e-6</v>
      </c>
      <c r="C168" s="6">
        <f t="shared" si="11"/>
        <v>5.9725585899173e-6</v>
      </c>
      <c r="D168" s="6">
        <f t="shared" si="12"/>
        <v>10.0000025922343</v>
      </c>
    </row>
    <row r="169" spans="1:4">
      <c r="A169" s="7">
        <f t="shared" si="13"/>
        <v>0.059619946536812</v>
      </c>
      <c r="B169" s="6">
        <f t="shared" si="10"/>
        <v>-7.40571012766568e-6</v>
      </c>
      <c r="C169" s="6">
        <f t="shared" si="11"/>
        <v>5.46050204697224e-6</v>
      </c>
      <c r="D169" s="6">
        <f t="shared" si="12"/>
        <v>10.0000019452081</v>
      </c>
    </row>
    <row r="170" spans="1:4">
      <c r="A170" s="7">
        <f t="shared" si="13"/>
        <v>0.0600255244044094</v>
      </c>
      <c r="B170" s="6">
        <f t="shared" si="10"/>
        <v>-6.34926581667301e-6</v>
      </c>
      <c r="C170" s="6">
        <f t="shared" si="11"/>
        <v>4.96124463289505e-6</v>
      </c>
      <c r="D170" s="6">
        <f t="shared" si="12"/>
        <v>10.0000013880212</v>
      </c>
    </row>
    <row r="171" spans="1:4">
      <c r="A171" s="7">
        <f t="shared" si="13"/>
        <v>0.0604311022720067</v>
      </c>
      <c r="B171" s="6">
        <f t="shared" si="10"/>
        <v>-5.39232826813422e-6</v>
      </c>
      <c r="C171" s="6">
        <f t="shared" si="11"/>
        <v>4.47986019302959e-6</v>
      </c>
      <c r="D171" s="6">
        <f t="shared" si="12"/>
        <v>10.0000009124681</v>
      </c>
    </row>
    <row r="172" spans="1:4">
      <c r="A172" s="7">
        <f t="shared" si="13"/>
        <v>0.0608366801396041</v>
      </c>
      <c r="B172" s="6">
        <f t="shared" si="10"/>
        <v>-4.53086113846524e-6</v>
      </c>
      <c r="C172" s="6">
        <f t="shared" si="11"/>
        <v>4.0202255426891e-6</v>
      </c>
      <c r="D172" s="6">
        <f t="shared" si="12"/>
        <v>10.0000005106356</v>
      </c>
    </row>
    <row r="173" spans="1:4">
      <c r="A173" s="7">
        <f t="shared" si="13"/>
        <v>0.0612422580072015</v>
      </c>
      <c r="B173" s="6">
        <f t="shared" si="10"/>
        <v>-3.76014946655782e-6</v>
      </c>
      <c r="C173" s="6">
        <f t="shared" si="11"/>
        <v>3.58518251886153e-6</v>
      </c>
      <c r="D173" s="6">
        <f t="shared" si="12"/>
        <v>10.0000001749669</v>
      </c>
    </row>
    <row r="174" spans="1:4">
      <c r="A174" s="7">
        <f t="shared" si="13"/>
        <v>0.0616478358747988</v>
      </c>
      <c r="B174" s="6">
        <f t="shared" si="10"/>
        <v>-3.07499433727549e-6</v>
      </c>
      <c r="C174" s="6">
        <f t="shared" si="11"/>
        <v>3.17668570914975e-6</v>
      </c>
      <c r="D174" s="6">
        <f t="shared" si="12"/>
        <v>9.99999989830863</v>
      </c>
    </row>
    <row r="175" spans="1:4">
      <c r="A175" s="7">
        <f t="shared" si="13"/>
        <v>0.0620534137423962</v>
      </c>
      <c r="B175" s="6">
        <f t="shared" si="10"/>
        <v>-2.4698790101623e-6</v>
      </c>
      <c r="C175" s="6">
        <f t="shared" si="11"/>
        <v>2.79593623808694e-6</v>
      </c>
      <c r="D175" s="6">
        <f t="shared" si="12"/>
        <v>9.99999967394277</v>
      </c>
    </row>
    <row r="176" spans="1:4">
      <c r="A176" s="7">
        <f t="shared" si="13"/>
        <v>0.0624589916099935</v>
      </c>
      <c r="B176" s="6">
        <f t="shared" si="10"/>
        <v>-1.93910928085135e-6</v>
      </c>
      <c r="C176" s="6">
        <f t="shared" si="11"/>
        <v>2.44350220413025e-6</v>
      </c>
      <c r="D176" s="6">
        <f t="shared" si="12"/>
        <v>9.99999949560708</v>
      </c>
    </row>
    <row r="177" spans="1:4">
      <c r="A177" s="7">
        <f t="shared" si="13"/>
        <v>0.0628645694775909</v>
      </c>
      <c r="B177" s="6">
        <f t="shared" si="10"/>
        <v>-1.47693071780683e-6</v>
      </c>
      <c r="C177" s="6">
        <f t="shared" si="11"/>
        <v>2.11942643701946e-6</v>
      </c>
      <c r="D177" s="6">
        <f t="shared" si="12"/>
        <v>9.99999935750428</v>
      </c>
    </row>
    <row r="178" spans="1:4">
      <c r="A178" s="7">
        <f t="shared" si="13"/>
        <v>0.0632701473451883</v>
      </c>
      <c r="B178" s="6">
        <f t="shared" si="10"/>
        <v>-1.07762527580389e-6</v>
      </c>
      <c r="C178" s="6">
        <f t="shared" si="11"/>
        <v>1.82332225584503e-6</v>
      </c>
      <c r="D178" s="6">
        <f t="shared" si="12"/>
        <v>9.99999925430302</v>
      </c>
    </row>
    <row r="179" spans="1:4">
      <c r="A179" s="7">
        <f t="shared" si="13"/>
        <v>0.0636757252127856</v>
      </c>
      <c r="B179" s="6">
        <f t="shared" si="10"/>
        <v>-7.35589635053545e-7</v>
      </c>
      <c r="C179" s="6">
        <f t="shared" si="11"/>
        <v>1.55445806804266e-6</v>
      </c>
      <c r="D179" s="6">
        <f t="shared" si="12"/>
        <v>9.99999918113157</v>
      </c>
    </row>
    <row r="180" spans="1:4">
      <c r="A180" s="7">
        <f t="shared" si="13"/>
        <v>0.064081303080383</v>
      </c>
      <c r="B180" s="6">
        <f t="shared" si="10"/>
        <v>-4.45397455447855e-7</v>
      </c>
      <c r="C180" s="6">
        <f t="shared" si="11"/>
        <v>1.31183155183123e-6</v>
      </c>
      <c r="D180" s="6">
        <f t="shared" si="12"/>
        <v>9.9999991335659</v>
      </c>
    </row>
    <row r="181" spans="1:4">
      <c r="A181" s="7">
        <f t="shared" si="13"/>
        <v>0.0644868809479803</v>
      </c>
      <c r="B181" s="6">
        <f t="shared" si="10"/>
        <v>-2.01847572679374e-7</v>
      </c>
      <c r="C181" s="6">
        <f t="shared" si="11"/>
        <v>1.09423424987654e-6</v>
      </c>
      <c r="D181" s="6">
        <f t="shared" si="12"/>
        <v>9.99999910761332</v>
      </c>
    </row>
    <row r="182" spans="1:4">
      <c r="A182" s="7">
        <f t="shared" si="13"/>
        <v>0.0648924588155777</v>
      </c>
      <c r="B182" s="6">
        <f t="shared" si="10"/>
        <v>-5.06906643949961e-20</v>
      </c>
      <c r="C182" s="6">
        <f t="shared" si="11"/>
        <v>9.00307368212339e-7</v>
      </c>
      <c r="D182" s="6">
        <f t="shared" si="12"/>
        <v>9.99999909969263</v>
      </c>
    </row>
    <row r="183" spans="1:4">
      <c r="A183" s="7">
        <f t="shared" ref="A183:A214" si="14">A182+$B$17</f>
        <v>0.065298036683175</v>
      </c>
      <c r="B183" s="6">
        <f t="shared" si="10"/>
        <v>1.64798561398455e-7</v>
      </c>
      <c r="C183" s="6">
        <f t="shared" si="11"/>
        <v>7.2858959221378e-7</v>
      </c>
      <c r="D183" s="6">
        <f t="shared" si="12"/>
        <v>9.99999910661185</v>
      </c>
    </row>
    <row r="184" spans="1:4">
      <c r="A184" s="7">
        <f t="shared" si="14"/>
        <v>0.0657036145507724</v>
      </c>
      <c r="B184" s="6">
        <f t="shared" si="10"/>
        <v>2.96898156993072e-7</v>
      </c>
      <c r="C184" s="6">
        <f t="shared" si="11"/>
        <v>5.77557601744161e-7</v>
      </c>
      <c r="D184" s="6">
        <f t="shared" si="12"/>
        <v>9.99999912554424</v>
      </c>
    </row>
    <row r="185" spans="1:4">
      <c r="A185" s="7">
        <f t="shared" si="14"/>
        <v>0.0661091924183698</v>
      </c>
      <c r="B185" s="6">
        <f t="shared" si="10"/>
        <v>4.00336562978381e-7</v>
      </c>
      <c r="C185" s="6">
        <f t="shared" si="11"/>
        <v>4.45660132797343e-7</v>
      </c>
      <c r="D185" s="6">
        <f t="shared" si="12"/>
        <v>9.99999915400331</v>
      </c>
    </row>
    <row r="186" spans="1:4">
      <c r="A186" s="7">
        <f t="shared" si="14"/>
        <v>0.0665147702859671</v>
      </c>
      <c r="B186" s="6">
        <f t="shared" si="10"/>
        <v>4.78836568112783e-7</v>
      </c>
      <c r="C186" s="6">
        <f t="shared" si="11"/>
        <v>3.31346145188149e-7</v>
      </c>
      <c r="D186" s="6">
        <f t="shared" si="12"/>
        <v>9.99999918981729</v>
      </c>
    </row>
    <row r="187" spans="1:4">
      <c r="A187" s="7">
        <f t="shared" si="14"/>
        <v>0.0669203481535645</v>
      </c>
      <c r="B187" s="6">
        <f t="shared" si="10"/>
        <v>5.3580843781911e-7</v>
      </c>
      <c r="C187" s="6">
        <f t="shared" si="11"/>
        <v>2.33087865453285e-7</v>
      </c>
      <c r="D187" s="6">
        <f t="shared" si="12"/>
        <v>9.9999992311037</v>
      </c>
    </row>
    <row r="188" spans="1:4">
      <c r="A188" s="7">
        <f t="shared" si="14"/>
        <v>0.0673259260211618</v>
      </c>
      <c r="B188" s="6">
        <f t="shared" si="10"/>
        <v>5.74356572702536e-7</v>
      </c>
      <c r="C188" s="6">
        <f t="shared" si="11"/>
        <v>1.49399207671763e-7</v>
      </c>
      <c r="D188" s="6">
        <f t="shared" si="12"/>
        <v>9.99999927624422</v>
      </c>
    </row>
    <row r="189" spans="1:4">
      <c r="A189" s="7">
        <f t="shared" si="14"/>
        <v>0.0677315038887592</v>
      </c>
      <c r="B189" s="6">
        <f t="shared" si="10"/>
        <v>5.97289492601806e-7</v>
      </c>
      <c r="C189" s="6">
        <f t="shared" si="11"/>
        <v>7.88502418913595e-8</v>
      </c>
      <c r="D189" s="6">
        <f t="shared" si="12"/>
        <v>9.99999932386027</v>
      </c>
    </row>
    <row r="190" spans="1:4">
      <c r="A190" s="7">
        <f t="shared" si="14"/>
        <v>0.0681370817563566</v>
      </c>
      <c r="B190" s="6">
        <f t="shared" si="10"/>
        <v>6.07132387327683e-7</v>
      </c>
      <c r="C190" s="6">
        <f t="shared" si="11"/>
        <v>2.00781258286042e-8</v>
      </c>
      <c r="D190" s="6">
        <f t="shared" si="12"/>
        <v>9.99999937278949</v>
      </c>
    </row>
    <row r="191" spans="1:4">
      <c r="A191" s="7">
        <f t="shared" si="14"/>
        <v>0.0685426596239539</v>
      </c>
      <c r="B191" s="6">
        <f t="shared" si="10"/>
        <v>6.06141576366039e-7</v>
      </c>
      <c r="C191" s="6">
        <f t="shared" si="11"/>
        <v>-2.82049263944373e-8</v>
      </c>
      <c r="D191" s="6">
        <f t="shared" si="12"/>
        <v>9.99999942206335</v>
      </c>
    </row>
    <row r="192" spans="1:4">
      <c r="A192" s="7">
        <f t="shared" si="14"/>
        <v>0.0689482374915513</v>
      </c>
      <c r="B192" s="6">
        <f t="shared" si="10"/>
        <v>5.96320312164436e-7</v>
      </c>
      <c r="C192" s="6">
        <f t="shared" si="11"/>
        <v>-6.72062920870076e-8</v>
      </c>
      <c r="D192" s="6">
        <f t="shared" si="12"/>
        <v>9.99999947088598</v>
      </c>
    </row>
    <row r="193" spans="1:4">
      <c r="A193" s="7">
        <f t="shared" si="14"/>
        <v>0.0693538153591486</v>
      </c>
      <c r="B193" s="6">
        <f t="shared" si="10"/>
        <v>5.79435445419654e-7</v>
      </c>
      <c r="C193" s="6">
        <f t="shared" si="11"/>
        <v>-9.80497336655617e-8</v>
      </c>
      <c r="D193" s="6">
        <f t="shared" si="12"/>
        <v>9.99999951861429</v>
      </c>
    </row>
    <row r="194" spans="1:4">
      <c r="A194" s="7">
        <f t="shared" si="14"/>
        <v>0.069759393226746</v>
      </c>
      <c r="B194" s="6">
        <f t="shared" si="10"/>
        <v>5.5703454636125e-7</v>
      </c>
      <c r="C194" s="6">
        <f t="shared" si="11"/>
        <v>-1.21774039740785e-7</v>
      </c>
      <c r="D194" s="6">
        <f t="shared" si="12"/>
        <v>9.99999956473949</v>
      </c>
    </row>
    <row r="195" spans="1:4">
      <c r="A195" s="7">
        <f t="shared" si="14"/>
        <v>0.0701649710943434</v>
      </c>
      <c r="B195" s="6">
        <f t="shared" si="10"/>
        <v>5.3046314376839e-7</v>
      </c>
      <c r="C195" s="6">
        <f t="shared" si="11"/>
        <v>-1.39333186766066e-7</v>
      </c>
      <c r="D195" s="6">
        <f t="shared" si="12"/>
        <v>9.99999960887004</v>
      </c>
    </row>
    <row r="196" spans="1:4">
      <c r="A196" s="7">
        <f t="shared" si="14"/>
        <v>0.0705705489619407</v>
      </c>
      <c r="B196" s="6">
        <f t="shared" si="10"/>
        <v>5.0088180379455e-7</v>
      </c>
      <c r="C196" s="6">
        <f t="shared" si="11"/>
        <v>-1.5159770860862e-7</v>
      </c>
      <c r="D196" s="6">
        <f t="shared" si="12"/>
        <v>9.9999996507159</v>
      </c>
    </row>
    <row r="197" spans="1:4">
      <c r="A197" s="7">
        <f t="shared" si="14"/>
        <v>0.0709761268295381</v>
      </c>
      <c r="B197" s="6">
        <f t="shared" si="10"/>
        <v>4.69282824069622e-7</v>
      </c>
      <c r="C197" s="6">
        <f t="shared" si="11"/>
        <v>-1.59357080420364e-7</v>
      </c>
      <c r="D197" s="6">
        <f t="shared" si="12"/>
        <v>9.99999969007426</v>
      </c>
    </row>
    <row r="198" spans="1:4">
      <c r="A198" s="7">
        <f t="shared" si="14"/>
        <v>0.0713817046971354</v>
      </c>
      <c r="B198" s="6">
        <f t="shared" si="10"/>
        <v>4.36506365481502e-7</v>
      </c>
      <c r="C198" s="6">
        <f t="shared" si="11"/>
        <v>-1.63322846802316e-7</v>
      </c>
      <c r="D198" s="6">
        <f t="shared" si="12"/>
        <v>9.99999972681648</v>
      </c>
    </row>
    <row r="199" spans="1:4">
      <c r="A199" s="7">
        <f t="shared" si="14"/>
        <v>0.0717872825647328</v>
      </c>
      <c r="B199" s="6">
        <f t="shared" si="10"/>
        <v>4.0325588499808e-7</v>
      </c>
      <c r="C199" s="6">
        <f t="shared" si="11"/>
        <v>-1.64132362812097e-7</v>
      </c>
      <c r="D199" s="6">
        <f t="shared" si="12"/>
        <v>9.99999976087648</v>
      </c>
    </row>
    <row r="200" spans="1:4">
      <c r="A200" s="7">
        <f t="shared" si="14"/>
        <v>0.0721928604323302</v>
      </c>
      <c r="B200" s="6">
        <f t="shared" si="10"/>
        <v>3.701127683629e-7</v>
      </c>
      <c r="C200" s="6">
        <f t="shared" si="11"/>
        <v>-1.62352916888153e-7</v>
      </c>
      <c r="D200" s="6">
        <f t="shared" si="12"/>
        <v>9.99999979224015</v>
      </c>
    </row>
    <row r="201" spans="1:4">
      <c r="A201" s="7">
        <f t="shared" si="14"/>
        <v>0.0725984382999275</v>
      </c>
      <c r="B201" s="6">
        <f t="shared" si="10"/>
        <v>3.37550091963415e-7</v>
      </c>
      <c r="C201" s="6">
        <f t="shared" si="11"/>
        <v>-1.58486168189143e-7</v>
      </c>
      <c r="D201" s="6">
        <f t="shared" si="12"/>
        <v>9.99999982093608</v>
      </c>
    </row>
    <row r="202" spans="1:4">
      <c r="A202" s="7">
        <f t="shared" si="14"/>
        <v>0.0730040161675249</v>
      </c>
      <c r="B202" s="6">
        <f t="shared" si="10"/>
        <v>3.05945469095672e-7</v>
      </c>
      <c r="C202" s="6">
        <f t="shared" si="11"/>
        <v>-1.52972734923651e-7</v>
      </c>
      <c r="D202" s="6">
        <f t="shared" si="12"/>
        <v>9.99999984702727</v>
      </c>
    </row>
    <row r="203" spans="1:4">
      <c r="A203" s="7">
        <f t="shared" si="14"/>
        <v>0.0734095940351222</v>
      </c>
      <c r="B203" s="6">
        <f t="shared" si="10"/>
        <v>2.75592957681383e-7</v>
      </c>
      <c r="C203" s="6">
        <f t="shared" si="11"/>
        <v>-1.46196839523327e-7</v>
      </c>
      <c r="D203" s="6">
        <f t="shared" si="12"/>
        <v>9.99999987060388</v>
      </c>
    </row>
    <row r="204" spans="1:4">
      <c r="A204" s="7">
        <f t="shared" si="14"/>
        <v>0.0738151719027196</v>
      </c>
      <c r="B204" s="6">
        <f t="shared" si="10"/>
        <v>2.46714024659364e-7</v>
      </c>
      <c r="C204" s="6">
        <f t="shared" si="11"/>
        <v>-1.3849095203966e-7</v>
      </c>
      <c r="D204" s="6">
        <f t="shared" si="12"/>
        <v>9.99999989177693</v>
      </c>
    </row>
    <row r="205" spans="1:4">
      <c r="A205" s="7">
        <f t="shared" si="14"/>
        <v>0.074220749770317</v>
      </c>
      <c r="B205" s="6">
        <f t="shared" si="10"/>
        <v>2.19467577175985e-7</v>
      </c>
      <c r="C205" s="6">
        <f t="shared" si="11"/>
        <v>-1.30140344722918e-7</v>
      </c>
      <c r="D205" s="6">
        <f t="shared" si="12"/>
        <v>9.99999991067277</v>
      </c>
    </row>
    <row r="206" spans="1:4">
      <c r="A206" s="7">
        <f t="shared" si="14"/>
        <v>0.0746263276379143</v>
      </c>
      <c r="B206" s="6">
        <f t="shared" si="10"/>
        <v>1.93959082716075e-7</v>
      </c>
      <c r="C206" s="6">
        <f t="shared" si="11"/>
        <v>-1.21387518703386e-7</v>
      </c>
      <c r="D206" s="6">
        <f t="shared" si="12"/>
        <v>9.99999992742844</v>
      </c>
    </row>
    <row r="207" spans="1:4">
      <c r="A207" s="7">
        <f t="shared" si="14"/>
        <v>0.0750319055055117</v>
      </c>
      <c r="B207" s="6">
        <f t="shared" si="10"/>
        <v>1.70248809797593e-7</v>
      </c>
      <c r="C207" s="6">
        <f t="shared" si="11"/>
        <v>-1.1243643882608e-7</v>
      </c>
      <c r="D207" s="6">
        <f t="shared" si="12"/>
        <v>9.99999994218763</v>
      </c>
    </row>
    <row r="208" spans="1:4">
      <c r="A208" s="7">
        <f t="shared" si="14"/>
        <v>0.075437483373109</v>
      </c>
      <c r="B208" s="6">
        <f t="shared" si="10"/>
        <v>1.48359228124693e-7</v>
      </c>
      <c r="C208" s="6">
        <f t="shared" si="11"/>
        <v>-1.03456581967976e-7</v>
      </c>
      <c r="D208" s="6">
        <f t="shared" si="12"/>
        <v>9.99999995509735</v>
      </c>
    </row>
    <row r="209" spans="1:4">
      <c r="A209" s="7">
        <f t="shared" si="14"/>
        <v>0.0758430612407064</v>
      </c>
      <c r="B209" s="6">
        <f t="shared" si="10"/>
        <v>1.2828161245218e-7</v>
      </c>
      <c r="C209" s="6">
        <f t="shared" si="11"/>
        <v>-9.45867455470761e-8</v>
      </c>
      <c r="D209" s="6">
        <f t="shared" si="12"/>
        <v>9.99999996630513</v>
      </c>
    </row>
    <row r="210" spans="1:4">
      <c r="A210" s="7">
        <f t="shared" si="14"/>
        <v>0.0762486391083037</v>
      </c>
      <c r="B210" s="6">
        <f t="shared" si="10"/>
        <v>1.09981898131227e-7</v>
      </c>
      <c r="C210" s="6">
        <f t="shared" si="11"/>
        <v>-8.59386126705886e-8</v>
      </c>
      <c r="D210" s="6">
        <f t="shared" si="12"/>
        <v>9.99999997595672</v>
      </c>
    </row>
    <row r="211" spans="1:4">
      <c r="A211" s="7">
        <f t="shared" si="14"/>
        <v>0.0766542169759011</v>
      </c>
      <c r="B211" s="6">
        <f t="shared" si="10"/>
        <v>9.34058386276283e-8</v>
      </c>
      <c r="C211" s="6">
        <f t="shared" si="11"/>
        <v>-7.76000792512832e-8</v>
      </c>
      <c r="D211" s="6">
        <f t="shared" si="12"/>
        <v>9.99999998419424</v>
      </c>
    </row>
    <row r="212" spans="1:4">
      <c r="A212" s="7">
        <f t="shared" si="14"/>
        <v>0.0770597948434985</v>
      </c>
      <c r="B212" s="6">
        <f t="shared" si="10"/>
        <v>7.84835164514401e-8</v>
      </c>
      <c r="C212" s="6">
        <f t="shared" si="11"/>
        <v>-6.96382933540463e-8</v>
      </c>
      <c r="D212" s="6">
        <f t="shared" si="12"/>
        <v>9.99999999115478</v>
      </c>
    </row>
    <row r="213" spans="1:4">
      <c r="A213" s="7">
        <f t="shared" si="14"/>
        <v>0.0774653727110958</v>
      </c>
      <c r="B213" s="6">
        <f t="shared" si="10"/>
        <v>6.513325910898e-8</v>
      </c>
      <c r="C213" s="6">
        <f t="shared" si="11"/>
        <v>-6.2102483155968e-8</v>
      </c>
      <c r="D213" s="6">
        <f t="shared" si="12"/>
        <v>9.99999999696922</v>
      </c>
    </row>
    <row r="214" spans="1:4">
      <c r="A214" s="7">
        <f t="shared" si="14"/>
        <v>0.0778709505786932</v>
      </c>
      <c r="B214" s="6">
        <f t="shared" ref="B214:B277" si="15">(($B$8/($B$6*$B$13))*EXP(-$B$11*A214)*SIN($B$13*A214))*$B$5</f>
        <v>5.32650110613182e-8</v>
      </c>
      <c r="C214" s="6">
        <f t="shared" ref="C214:C277" si="16">$B$8-B214-D214</f>
        <v>-5.50265077947643e-8</v>
      </c>
      <c r="D214" s="6">
        <f t="shared" ref="D214:D222" si="17">$B$8*(1-EXP(-$B$11*A214)*(COS($B$13*A214)+($B$11/$B$13)*SIN($B$13*A214)))</f>
        <v>10.0000000017615</v>
      </c>
    </row>
    <row r="215" spans="1:4">
      <c r="A215" s="7">
        <f t="shared" ref="A215:A222" si="18">A214+$B$17</f>
        <v>0.0782765284462905</v>
      </c>
      <c r="B215" s="6">
        <f t="shared" si="15"/>
        <v>4.27832114035618e-8</v>
      </c>
      <c r="C215" s="6">
        <f t="shared" si="16"/>
        <v>-4.84311719617381e-8</v>
      </c>
      <c r="D215" s="6">
        <f t="shared" si="17"/>
        <v>10.000000005648</v>
      </c>
    </row>
    <row r="216" spans="1:4">
      <c r="A216" s="7">
        <f t="shared" si="18"/>
        <v>0.0786821063138879</v>
      </c>
      <c r="B216" s="6">
        <f t="shared" si="15"/>
        <v>3.35892252033112e-8</v>
      </c>
      <c r="C216" s="6">
        <f t="shared" si="16"/>
        <v>-4.23263113447092e-8</v>
      </c>
      <c r="D216" s="6">
        <f t="shared" si="17"/>
        <v>10.0000000087371</v>
      </c>
    </row>
    <row r="217" spans="1:4">
      <c r="A217" s="7">
        <f t="shared" si="18"/>
        <v>0.0790876841814853</v>
      </c>
      <c r="B217" s="6">
        <f t="shared" si="15"/>
        <v>2.55833742739456e-8</v>
      </c>
      <c r="C217" s="6">
        <f t="shared" si="16"/>
        <v>-3.67126755662639e-8</v>
      </c>
      <c r="D217" s="6">
        <f t="shared" si="17"/>
        <v>10.0000000111293</v>
      </c>
    </row>
    <row r="218" spans="1:4">
      <c r="A218" s="7">
        <f t="shared" si="18"/>
        <v>0.0794932620490826</v>
      </c>
      <c r="B218" s="6">
        <f t="shared" si="15"/>
        <v>1.86666107120408e-8</v>
      </c>
      <c r="C218" s="6">
        <f t="shared" si="16"/>
        <v>-3.15835659847608e-8</v>
      </c>
      <c r="D218" s="6">
        <f t="shared" si="17"/>
        <v>10.000000012917</v>
      </c>
    </row>
    <row r="219" spans="1:4">
      <c r="A219" s="7">
        <f t="shared" si="18"/>
        <v>0.07989883991668</v>
      </c>
      <c r="B219" s="6">
        <f t="shared" si="15"/>
        <v>1.27418738866475e-8</v>
      </c>
      <c r="C219" s="6">
        <f t="shared" si="16"/>
        <v>-2.69263029650801e-8</v>
      </c>
      <c r="D219" s="6">
        <f t="shared" si="17"/>
        <v>10.0000000141844</v>
      </c>
    </row>
    <row r="220" spans="1:4">
      <c r="A220" s="7">
        <f t="shared" si="18"/>
        <v>0.0803044177842773</v>
      </c>
      <c r="B220" s="6">
        <f t="shared" si="15"/>
        <v>7.71516880650092e-9</v>
      </c>
      <c r="C220" s="6">
        <f t="shared" si="16"/>
        <v>-2.27235279481874e-8</v>
      </c>
      <c r="D220" s="6">
        <f t="shared" si="17"/>
        <v>10.0000000150084</v>
      </c>
    </row>
    <row r="221" spans="1:4">
      <c r="A221" s="7">
        <f t="shared" si="18"/>
        <v>0.0807099956518747</v>
      </c>
      <c r="B221" s="6">
        <f t="shared" si="15"/>
        <v>3.49640097256081e-9</v>
      </c>
      <c r="C221" s="6">
        <f t="shared" si="16"/>
        <v>-1.89543118978008e-8</v>
      </c>
      <c r="D221" s="6">
        <f t="shared" si="17"/>
        <v>10.0000000154579</v>
      </c>
    </row>
    <row r="222" spans="1:4">
      <c r="A222" s="7">
        <f t="shared" si="18"/>
        <v>0.0811155735194721</v>
      </c>
      <c r="B222" s="6">
        <f t="shared" si="15"/>
        <v>1.52674381150167e-21</v>
      </c>
      <c r="C222" s="6">
        <f t="shared" si="16"/>
        <v>-1.55951127567278e-8</v>
      </c>
      <c r="D222" s="6">
        <f t="shared" si="17"/>
        <v>10.0000000155951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RLC Transient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yeah</cp:lastModifiedBy>
  <cp:revision>1</cp:revision>
  <dcterms:created xsi:type="dcterms:W3CDTF">2026-09-16T19:04:00Z</dcterms:created>
  <dcterms:modified xsi:type="dcterms:W3CDTF">2026-09-20T20:38:41Z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017A6A8C86B4AEDC917CB06A1BA4610D_42</vt:lpwstr>
  </property>
  <property fmtid="{D5CDD505-2E9C-101B-9397-08002B2CF9AE}" pid="3" name="KSOProductBuildVer">
    <vt:lpwstr>2052-6.13.2.8918</vt:lpwstr>
  </property>
</Properties>
</file>