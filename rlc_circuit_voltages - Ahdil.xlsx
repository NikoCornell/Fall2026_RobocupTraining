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ingh\OneDrive\Desktop\RoboCup\training\Fall2026_RobocupTraining\"/>
    </mc:Choice>
  </mc:AlternateContent>
  <xr:revisionPtr revIDLastSave="0" documentId="13_ncr:1_{8CDCDDBD-9FED-4DC7-904C-5EA902F003C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LC Transi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1" l="1"/>
  <c r="B11" i="1"/>
  <c r="B13" i="1" l="1"/>
  <c r="B14" i="1" s="1"/>
  <c r="B15" i="1" s="1"/>
  <c r="B17" i="1" s="1"/>
  <c r="A23" i="1" s="1"/>
  <c r="A24" i="1" s="1"/>
  <c r="B24" i="1" s="1"/>
  <c r="D22" i="1" l="1"/>
  <c r="B22" i="1"/>
  <c r="C22" i="1" s="1"/>
  <c r="B23" i="1"/>
  <c r="D23" i="1"/>
  <c r="D24" i="1"/>
  <c r="C24" i="1" s="1"/>
  <c r="A25" i="1"/>
  <c r="C23" i="1" l="1"/>
  <c r="A26" i="1"/>
  <c r="B25" i="1"/>
  <c r="D25" i="1"/>
  <c r="C25" i="1" l="1"/>
  <c r="A27" i="1"/>
  <c r="D26" i="1"/>
  <c r="B26" i="1"/>
  <c r="C26" i="1" l="1"/>
  <c r="A28" i="1"/>
  <c r="B27" i="1"/>
  <c r="D27" i="1"/>
  <c r="C27" i="1" l="1"/>
  <c r="A29" i="1"/>
  <c r="B28" i="1"/>
  <c r="D28" i="1"/>
  <c r="C28" i="1" l="1"/>
  <c r="A30" i="1"/>
  <c r="D29" i="1"/>
  <c r="B29" i="1"/>
  <c r="C29" i="1" l="1"/>
  <c r="A31" i="1"/>
  <c r="D30" i="1"/>
  <c r="B30" i="1"/>
  <c r="C30" i="1" l="1"/>
  <c r="A32" i="1"/>
  <c r="B31" i="1"/>
  <c r="D31" i="1"/>
  <c r="A33" i="1" l="1"/>
  <c r="D32" i="1"/>
  <c r="B32" i="1"/>
  <c r="C32" i="1" s="1"/>
  <c r="C31" i="1"/>
  <c r="A34" i="1" l="1"/>
  <c r="D33" i="1"/>
  <c r="B33" i="1"/>
  <c r="C33" i="1" l="1"/>
  <c r="A35" i="1"/>
  <c r="B34" i="1"/>
  <c r="D34" i="1"/>
  <c r="A36" i="1" l="1"/>
  <c r="D35" i="1"/>
  <c r="B35" i="1"/>
  <c r="C34" i="1"/>
  <c r="C35" i="1" l="1"/>
  <c r="A37" i="1"/>
  <c r="D36" i="1"/>
  <c r="B36" i="1"/>
  <c r="C36" i="1" l="1"/>
  <c r="A38" i="1"/>
  <c r="D37" i="1"/>
  <c r="B37" i="1"/>
  <c r="C37" i="1" s="1"/>
  <c r="A39" i="1" l="1"/>
  <c r="B38" i="1"/>
  <c r="D38" i="1"/>
  <c r="A40" i="1" l="1"/>
  <c r="D39" i="1"/>
  <c r="B39" i="1"/>
  <c r="C39" i="1" s="1"/>
  <c r="C38" i="1"/>
  <c r="A41" i="1" l="1"/>
  <c r="B40" i="1"/>
  <c r="D40" i="1"/>
  <c r="A42" i="1" l="1"/>
  <c r="B41" i="1"/>
  <c r="D41" i="1"/>
  <c r="C40" i="1"/>
  <c r="C41" i="1" l="1"/>
  <c r="A43" i="1"/>
  <c r="D42" i="1"/>
  <c r="B42" i="1"/>
  <c r="A44" i="1" l="1"/>
  <c r="B43" i="1"/>
  <c r="D43" i="1"/>
  <c r="C42" i="1"/>
  <c r="C43" i="1" l="1"/>
  <c r="A45" i="1"/>
  <c r="D44" i="1"/>
  <c r="B44" i="1"/>
  <c r="A46" i="1" l="1"/>
  <c r="D45" i="1"/>
  <c r="B45" i="1"/>
  <c r="C44" i="1"/>
  <c r="A47" i="1" l="1"/>
  <c r="B46" i="1"/>
  <c r="D46" i="1"/>
  <c r="C45" i="1"/>
  <c r="C46" i="1" l="1"/>
  <c r="A48" i="1"/>
  <c r="B47" i="1"/>
  <c r="D47" i="1"/>
  <c r="C47" i="1" l="1"/>
  <c r="A49" i="1"/>
  <c r="D48" i="1"/>
  <c r="B48" i="1"/>
  <c r="A50" i="1" l="1"/>
  <c r="D49" i="1"/>
  <c r="B49" i="1"/>
  <c r="C48" i="1"/>
  <c r="C49" i="1" l="1"/>
  <c r="A51" i="1"/>
  <c r="D50" i="1"/>
  <c r="B50" i="1"/>
  <c r="C50" i="1" s="1"/>
  <c r="A52" i="1" l="1"/>
  <c r="D51" i="1"/>
  <c r="B51" i="1"/>
  <c r="C51" i="1" l="1"/>
  <c r="A53" i="1"/>
  <c r="D52" i="1"/>
  <c r="B52" i="1"/>
  <c r="C52" i="1" s="1"/>
  <c r="A54" i="1" l="1"/>
  <c r="B53" i="1"/>
  <c r="D53" i="1"/>
  <c r="C53" i="1" l="1"/>
  <c r="A55" i="1"/>
  <c r="B54" i="1"/>
  <c r="D54" i="1"/>
  <c r="C54" i="1" l="1"/>
  <c r="A56" i="1"/>
  <c r="D55" i="1"/>
  <c r="B55" i="1"/>
  <c r="C55" i="1" l="1"/>
  <c r="A57" i="1"/>
  <c r="B56" i="1"/>
  <c r="D56" i="1"/>
  <c r="C56" i="1" l="1"/>
  <c r="A58" i="1"/>
  <c r="B57" i="1"/>
  <c r="D57" i="1"/>
  <c r="C57" i="1" l="1"/>
  <c r="A59" i="1"/>
  <c r="D58" i="1"/>
  <c r="B58" i="1"/>
  <c r="C58" i="1" s="1"/>
  <c r="A60" i="1" l="1"/>
  <c r="D59" i="1"/>
  <c r="B59" i="1"/>
  <c r="C59" i="1" l="1"/>
  <c r="A61" i="1"/>
  <c r="B60" i="1"/>
  <c r="D60" i="1"/>
  <c r="C60" i="1" l="1"/>
  <c r="A62" i="1"/>
  <c r="D61" i="1"/>
  <c r="B61" i="1"/>
  <c r="C61" i="1" l="1"/>
  <c r="A63" i="1"/>
  <c r="D62" i="1"/>
  <c r="B62" i="1"/>
  <c r="C62" i="1" l="1"/>
  <c r="A64" i="1"/>
  <c r="B63" i="1"/>
  <c r="D63" i="1"/>
  <c r="C63" i="1" l="1"/>
  <c r="A65" i="1"/>
  <c r="D64" i="1"/>
  <c r="B64" i="1"/>
  <c r="C64" i="1" s="1"/>
  <c r="A66" i="1" l="1"/>
  <c r="B65" i="1"/>
  <c r="D65" i="1"/>
  <c r="C65" i="1" l="1"/>
  <c r="A67" i="1"/>
  <c r="B66" i="1"/>
  <c r="D66" i="1"/>
  <c r="C66" i="1" l="1"/>
  <c r="A68" i="1"/>
  <c r="B67" i="1"/>
  <c r="D67" i="1"/>
  <c r="C67" i="1" l="1"/>
  <c r="A69" i="1"/>
  <c r="D68" i="1"/>
  <c r="B68" i="1"/>
  <c r="C68" i="1" l="1"/>
  <c r="A70" i="1"/>
  <c r="D69" i="1"/>
  <c r="B69" i="1"/>
  <c r="C69" i="1" l="1"/>
  <c r="A71" i="1"/>
  <c r="B70" i="1"/>
  <c r="D70" i="1"/>
  <c r="C70" i="1" l="1"/>
  <c r="A72" i="1"/>
  <c r="D71" i="1"/>
  <c r="B71" i="1"/>
  <c r="A73" i="1" l="1"/>
  <c r="D72" i="1"/>
  <c r="B72" i="1"/>
  <c r="C71" i="1"/>
  <c r="A74" i="1" l="1"/>
  <c r="B73" i="1"/>
  <c r="D73" i="1"/>
  <c r="C72" i="1"/>
  <c r="C73" i="1" l="1"/>
  <c r="A75" i="1"/>
  <c r="D74" i="1"/>
  <c r="B74" i="1"/>
  <c r="C74" i="1" l="1"/>
  <c r="A76" i="1"/>
  <c r="D75" i="1"/>
  <c r="B75" i="1"/>
  <c r="C75" i="1" l="1"/>
  <c r="A77" i="1"/>
  <c r="D76" i="1"/>
  <c r="B76" i="1"/>
  <c r="C76" i="1" l="1"/>
  <c r="A78" i="1"/>
  <c r="D77" i="1"/>
  <c r="B77" i="1"/>
  <c r="C77" i="1" l="1"/>
  <c r="A79" i="1"/>
  <c r="D78" i="1"/>
  <c r="B78" i="1"/>
  <c r="C78" i="1" l="1"/>
  <c r="A80" i="1"/>
  <c r="D79" i="1"/>
  <c r="B79" i="1"/>
  <c r="C79" i="1" l="1"/>
  <c r="A81" i="1"/>
  <c r="B80" i="1"/>
  <c r="D80" i="1"/>
  <c r="C80" i="1" l="1"/>
  <c r="A82" i="1"/>
  <c r="B81" i="1"/>
  <c r="D81" i="1"/>
  <c r="C81" i="1" l="1"/>
  <c r="A83" i="1"/>
  <c r="D82" i="1"/>
  <c r="B82" i="1"/>
  <c r="C82" i="1" l="1"/>
  <c r="A84" i="1"/>
  <c r="B83" i="1"/>
  <c r="D83" i="1"/>
  <c r="A85" i="1" l="1"/>
  <c r="D84" i="1"/>
  <c r="B84" i="1"/>
  <c r="C83" i="1"/>
  <c r="C84" i="1" l="1"/>
  <c r="A86" i="1"/>
  <c r="D85" i="1"/>
  <c r="B85" i="1"/>
  <c r="C85" i="1" l="1"/>
  <c r="A87" i="1"/>
  <c r="D86" i="1"/>
  <c r="B86" i="1"/>
  <c r="C86" i="1" s="1"/>
  <c r="A88" i="1" l="1"/>
  <c r="B87" i="1"/>
  <c r="D87" i="1"/>
  <c r="C87" i="1" l="1"/>
  <c r="A89" i="1"/>
  <c r="B88" i="1"/>
  <c r="D88" i="1"/>
  <c r="A90" i="1" l="1"/>
  <c r="D89" i="1"/>
  <c r="B89" i="1"/>
  <c r="C88" i="1"/>
  <c r="C89" i="1" l="1"/>
  <c r="A91" i="1"/>
  <c r="B90" i="1"/>
  <c r="D90" i="1"/>
  <c r="C90" i="1" l="1"/>
  <c r="A92" i="1"/>
  <c r="D91" i="1"/>
  <c r="B91" i="1"/>
  <c r="C91" i="1" l="1"/>
  <c r="A93" i="1"/>
  <c r="D92" i="1"/>
  <c r="B92" i="1"/>
  <c r="C92" i="1" l="1"/>
  <c r="A94" i="1"/>
  <c r="D93" i="1"/>
  <c r="B93" i="1"/>
  <c r="C93" i="1" l="1"/>
  <c r="A95" i="1"/>
  <c r="D94" i="1"/>
  <c r="B94" i="1"/>
  <c r="C94" i="1" l="1"/>
  <c r="A96" i="1"/>
  <c r="B95" i="1"/>
  <c r="D95" i="1"/>
  <c r="C95" i="1" l="1"/>
  <c r="A97" i="1"/>
  <c r="B96" i="1"/>
  <c r="D96" i="1"/>
  <c r="C96" i="1" l="1"/>
  <c r="A98" i="1"/>
  <c r="D97" i="1"/>
  <c r="B97" i="1"/>
  <c r="C97" i="1" s="1"/>
  <c r="A99" i="1" l="1"/>
  <c r="D98" i="1"/>
  <c r="B98" i="1"/>
  <c r="C98" i="1" l="1"/>
  <c r="A100" i="1"/>
  <c r="B99" i="1"/>
  <c r="D99" i="1"/>
  <c r="C99" i="1" l="1"/>
  <c r="A101" i="1"/>
  <c r="D100" i="1"/>
  <c r="B100" i="1"/>
  <c r="C100" i="1" l="1"/>
  <c r="A102" i="1"/>
  <c r="D101" i="1"/>
  <c r="B101" i="1"/>
  <c r="C101" i="1" l="1"/>
  <c r="A103" i="1"/>
  <c r="D102" i="1"/>
  <c r="B102" i="1"/>
  <c r="C102" i="1" s="1"/>
  <c r="A104" i="1" l="1"/>
  <c r="B103" i="1"/>
  <c r="D103" i="1"/>
  <c r="C103" i="1" l="1"/>
  <c r="A105" i="1"/>
  <c r="B104" i="1"/>
  <c r="D104" i="1"/>
  <c r="C104" i="1" l="1"/>
  <c r="A106" i="1"/>
  <c r="D105" i="1"/>
  <c r="B105" i="1"/>
  <c r="C105" i="1" l="1"/>
  <c r="A107" i="1"/>
  <c r="D106" i="1"/>
  <c r="B106" i="1"/>
  <c r="C106" i="1" s="1"/>
  <c r="A108" i="1" l="1"/>
  <c r="D107" i="1"/>
  <c r="B107" i="1"/>
  <c r="C107" i="1" l="1"/>
  <c r="A109" i="1"/>
  <c r="D108" i="1"/>
  <c r="B108" i="1"/>
  <c r="C108" i="1" s="1"/>
  <c r="A110" i="1" l="1"/>
  <c r="D109" i="1"/>
  <c r="B109" i="1"/>
  <c r="C109" i="1" s="1"/>
  <c r="A111" i="1" l="1"/>
  <c r="D110" i="1"/>
  <c r="B110" i="1"/>
  <c r="C110" i="1" l="1"/>
  <c r="A112" i="1"/>
  <c r="D111" i="1"/>
  <c r="B111" i="1"/>
  <c r="C111" i="1" l="1"/>
  <c r="A113" i="1"/>
  <c r="B112" i="1"/>
  <c r="D112" i="1"/>
  <c r="C112" i="1" l="1"/>
  <c r="A114" i="1"/>
  <c r="D113" i="1"/>
  <c r="B113" i="1"/>
  <c r="A115" i="1" l="1"/>
  <c r="B114" i="1"/>
  <c r="D114" i="1"/>
  <c r="C113" i="1"/>
  <c r="C114" i="1" l="1"/>
  <c r="A116" i="1"/>
  <c r="D115" i="1"/>
  <c r="B115" i="1"/>
  <c r="A117" i="1" l="1"/>
  <c r="D116" i="1"/>
  <c r="B116" i="1"/>
  <c r="C115" i="1"/>
  <c r="C116" i="1" l="1"/>
  <c r="A118" i="1"/>
  <c r="D117" i="1"/>
  <c r="B117" i="1"/>
  <c r="C117" i="1" s="1"/>
  <c r="A119" i="1" l="1"/>
  <c r="B118" i="1"/>
  <c r="D118" i="1"/>
  <c r="C118" i="1" l="1"/>
  <c r="A120" i="1"/>
  <c r="D119" i="1"/>
  <c r="B119" i="1"/>
  <c r="C119" i="1" l="1"/>
  <c r="A121" i="1"/>
  <c r="D120" i="1"/>
  <c r="B120" i="1"/>
  <c r="C120" i="1" l="1"/>
  <c r="A122" i="1"/>
  <c r="D121" i="1"/>
  <c r="B121" i="1"/>
  <c r="C121" i="1" s="1"/>
  <c r="A123" i="1" l="1"/>
  <c r="D122" i="1"/>
  <c r="B122" i="1"/>
  <c r="C122" i="1" s="1"/>
  <c r="A124" i="1" l="1"/>
  <c r="B123" i="1"/>
  <c r="D123" i="1"/>
  <c r="A125" i="1" l="1"/>
  <c r="D124" i="1"/>
  <c r="B124" i="1"/>
  <c r="C123" i="1"/>
  <c r="A126" i="1" l="1"/>
  <c r="B125" i="1"/>
  <c r="D125" i="1"/>
  <c r="C124" i="1"/>
  <c r="A127" i="1" l="1"/>
  <c r="D126" i="1"/>
  <c r="B126" i="1"/>
  <c r="C126" i="1" s="1"/>
  <c r="C125" i="1"/>
  <c r="A128" i="1" l="1"/>
  <c r="D127" i="1"/>
  <c r="B127" i="1"/>
  <c r="C127" i="1" l="1"/>
  <c r="A129" i="1"/>
  <c r="B128" i="1"/>
  <c r="D128" i="1"/>
  <c r="C128" i="1" l="1"/>
  <c r="A130" i="1"/>
  <c r="D129" i="1"/>
  <c r="B129" i="1"/>
  <c r="C129" i="1" l="1"/>
  <c r="A131" i="1"/>
  <c r="B130" i="1"/>
  <c r="D130" i="1"/>
  <c r="C130" i="1" l="1"/>
  <c r="A132" i="1"/>
  <c r="D131" i="1"/>
  <c r="B131" i="1"/>
  <c r="C131" i="1" s="1"/>
  <c r="A133" i="1" l="1"/>
  <c r="B132" i="1"/>
  <c r="D132" i="1"/>
  <c r="C132" i="1" l="1"/>
  <c r="A134" i="1"/>
  <c r="D133" i="1"/>
  <c r="B133" i="1"/>
  <c r="C133" i="1" l="1"/>
  <c r="A135" i="1"/>
  <c r="D134" i="1"/>
  <c r="B134" i="1"/>
  <c r="C134" i="1" l="1"/>
  <c r="A136" i="1"/>
  <c r="D135" i="1"/>
  <c r="B135" i="1"/>
  <c r="C135" i="1" s="1"/>
  <c r="A137" i="1" l="1"/>
  <c r="B136" i="1"/>
  <c r="D136" i="1"/>
  <c r="A138" i="1" l="1"/>
  <c r="D137" i="1"/>
  <c r="B137" i="1"/>
  <c r="C136" i="1"/>
  <c r="C137" i="1" l="1"/>
  <c r="A139" i="1"/>
  <c r="B138" i="1"/>
  <c r="D138" i="1"/>
  <c r="C138" i="1" l="1"/>
  <c r="A140" i="1"/>
  <c r="D139" i="1"/>
  <c r="B139" i="1"/>
  <c r="C139" i="1" s="1"/>
  <c r="A141" i="1" l="1"/>
  <c r="B140" i="1"/>
  <c r="D140" i="1"/>
  <c r="C140" i="1" l="1"/>
  <c r="A142" i="1"/>
  <c r="D141" i="1"/>
  <c r="B141" i="1"/>
  <c r="C141" i="1" s="1"/>
  <c r="A143" i="1" l="1"/>
  <c r="D142" i="1"/>
  <c r="B142" i="1"/>
  <c r="C142" i="1" s="1"/>
  <c r="A144" i="1" l="1"/>
  <c r="B143" i="1"/>
  <c r="D143" i="1"/>
  <c r="C143" i="1" l="1"/>
  <c r="A145" i="1"/>
  <c r="B144" i="1"/>
  <c r="D144" i="1"/>
  <c r="C144" i="1" l="1"/>
  <c r="A146" i="1"/>
  <c r="D145" i="1"/>
  <c r="B145" i="1"/>
  <c r="C145" i="1" s="1"/>
  <c r="A147" i="1" l="1"/>
  <c r="B146" i="1"/>
  <c r="D146" i="1"/>
  <c r="C146" i="1" l="1"/>
  <c r="A148" i="1"/>
  <c r="B147" i="1"/>
  <c r="D147" i="1"/>
  <c r="C147" i="1" l="1"/>
  <c r="A149" i="1"/>
  <c r="B148" i="1"/>
  <c r="D148" i="1"/>
  <c r="C148" i="1" l="1"/>
  <c r="A150" i="1"/>
  <c r="D149" i="1"/>
  <c r="B149" i="1"/>
  <c r="C149" i="1" s="1"/>
  <c r="A151" i="1" l="1"/>
  <c r="D150" i="1"/>
  <c r="B150" i="1"/>
  <c r="C150" i="1" l="1"/>
  <c r="A152" i="1"/>
  <c r="B151" i="1"/>
  <c r="D151" i="1"/>
  <c r="C151" i="1" l="1"/>
  <c r="A153" i="1"/>
  <c r="D152" i="1"/>
  <c r="B152" i="1"/>
  <c r="C152" i="1" s="1"/>
  <c r="A154" i="1" l="1"/>
  <c r="D153" i="1"/>
  <c r="B153" i="1"/>
  <c r="C153" i="1" l="1"/>
  <c r="A155" i="1"/>
  <c r="D154" i="1"/>
  <c r="B154" i="1"/>
  <c r="C154" i="1" s="1"/>
  <c r="A156" i="1" l="1"/>
  <c r="D155" i="1"/>
  <c r="B155" i="1"/>
  <c r="C155" i="1" l="1"/>
  <c r="A157" i="1"/>
  <c r="B156" i="1"/>
  <c r="D156" i="1"/>
  <c r="C156" i="1" l="1"/>
  <c r="A158" i="1"/>
  <c r="B157" i="1"/>
  <c r="D157" i="1"/>
  <c r="C157" i="1" l="1"/>
  <c r="A159" i="1"/>
  <c r="D158" i="1"/>
  <c r="B158" i="1"/>
  <c r="C158" i="1" s="1"/>
  <c r="A160" i="1" l="1"/>
  <c r="B159" i="1"/>
  <c r="D159" i="1"/>
  <c r="C159" i="1" l="1"/>
  <c r="A161" i="1"/>
  <c r="D160" i="1"/>
  <c r="B160" i="1"/>
  <c r="C160" i="1" l="1"/>
  <c r="A162" i="1"/>
  <c r="B161" i="1"/>
  <c r="D161" i="1"/>
  <c r="C161" i="1" l="1"/>
  <c r="A163" i="1"/>
  <c r="D162" i="1"/>
  <c r="B162" i="1"/>
  <c r="C162" i="1" s="1"/>
  <c r="A164" i="1" l="1"/>
  <c r="D163" i="1"/>
  <c r="B163" i="1"/>
  <c r="C163" i="1" s="1"/>
  <c r="A165" i="1" l="1"/>
  <c r="B164" i="1"/>
  <c r="D164" i="1"/>
  <c r="C164" i="1" l="1"/>
  <c r="A166" i="1"/>
  <c r="D165" i="1"/>
  <c r="B165" i="1"/>
  <c r="C165" i="1" l="1"/>
  <c r="A167" i="1"/>
  <c r="D166" i="1"/>
  <c r="B166" i="1"/>
  <c r="C166" i="1" l="1"/>
  <c r="A168" i="1"/>
  <c r="B167" i="1"/>
  <c r="D167" i="1"/>
  <c r="C167" i="1" l="1"/>
  <c r="A169" i="1"/>
  <c r="D168" i="1"/>
  <c r="B168" i="1"/>
  <c r="C168" i="1" l="1"/>
  <c r="A170" i="1"/>
  <c r="B169" i="1"/>
  <c r="D169" i="1"/>
  <c r="C169" i="1" l="1"/>
  <c r="A171" i="1"/>
  <c r="D170" i="1"/>
  <c r="B170" i="1"/>
  <c r="C170" i="1" l="1"/>
  <c r="A172" i="1"/>
  <c r="B171" i="1"/>
  <c r="D171" i="1"/>
  <c r="C171" i="1" l="1"/>
  <c r="A173" i="1"/>
  <c r="D172" i="1"/>
  <c r="B172" i="1"/>
  <c r="C172" i="1" l="1"/>
  <c r="A174" i="1"/>
  <c r="D173" i="1"/>
  <c r="B173" i="1"/>
  <c r="C173" i="1" l="1"/>
  <c r="A175" i="1"/>
  <c r="B174" i="1"/>
  <c r="D174" i="1"/>
  <c r="C174" i="1" l="1"/>
  <c r="A176" i="1"/>
  <c r="B175" i="1"/>
  <c r="D175" i="1"/>
  <c r="C175" i="1" l="1"/>
  <c r="A177" i="1"/>
  <c r="B176" i="1"/>
  <c r="D176" i="1"/>
  <c r="C176" i="1" l="1"/>
  <c r="A178" i="1"/>
  <c r="B177" i="1"/>
  <c r="D177" i="1"/>
  <c r="C177" i="1" l="1"/>
  <c r="A179" i="1"/>
  <c r="D178" i="1"/>
  <c r="B178" i="1"/>
  <c r="C178" i="1" s="1"/>
  <c r="A180" i="1" l="1"/>
  <c r="D179" i="1"/>
  <c r="B179" i="1"/>
  <c r="C179" i="1" l="1"/>
  <c r="A181" i="1"/>
  <c r="D180" i="1"/>
  <c r="B180" i="1"/>
  <c r="C180" i="1" s="1"/>
  <c r="A182" i="1" l="1"/>
  <c r="D181" i="1"/>
  <c r="B181" i="1"/>
  <c r="C181" i="1" l="1"/>
  <c r="A183" i="1"/>
  <c r="B182" i="1"/>
  <c r="D182" i="1"/>
  <c r="C182" i="1" l="1"/>
  <c r="A184" i="1"/>
  <c r="D183" i="1"/>
  <c r="B183" i="1"/>
  <c r="C183" i="1" l="1"/>
  <c r="A185" i="1"/>
  <c r="D184" i="1"/>
  <c r="B184" i="1"/>
  <c r="C184" i="1" s="1"/>
  <c r="A186" i="1" l="1"/>
  <c r="B185" i="1"/>
  <c r="D185" i="1"/>
  <c r="C185" i="1" l="1"/>
  <c r="A187" i="1"/>
  <c r="D186" i="1"/>
  <c r="B186" i="1"/>
  <c r="C186" i="1" l="1"/>
  <c r="A188" i="1"/>
  <c r="D187" i="1"/>
  <c r="B187" i="1"/>
  <c r="C187" i="1" l="1"/>
  <c r="A189" i="1"/>
  <c r="B188" i="1"/>
  <c r="D188" i="1"/>
  <c r="C188" i="1" l="1"/>
  <c r="A190" i="1"/>
  <c r="B189" i="1"/>
  <c r="D189" i="1"/>
  <c r="C189" i="1" l="1"/>
  <c r="A191" i="1"/>
  <c r="B190" i="1"/>
  <c r="D190" i="1"/>
  <c r="C190" i="1" l="1"/>
  <c r="A192" i="1"/>
  <c r="D191" i="1"/>
  <c r="B191" i="1"/>
  <c r="C191" i="1" s="1"/>
  <c r="A193" i="1" l="1"/>
  <c r="D192" i="1"/>
  <c r="B192" i="1"/>
  <c r="C192" i="1" l="1"/>
  <c r="A194" i="1"/>
  <c r="B193" i="1"/>
  <c r="D193" i="1"/>
  <c r="C193" i="1" l="1"/>
  <c r="A195" i="1"/>
  <c r="D194" i="1"/>
  <c r="B194" i="1"/>
  <c r="C194" i="1" s="1"/>
  <c r="A196" i="1" l="1"/>
  <c r="D195" i="1"/>
  <c r="B195" i="1"/>
  <c r="C195" i="1" l="1"/>
  <c r="A197" i="1"/>
  <c r="D196" i="1"/>
  <c r="B196" i="1"/>
  <c r="C196" i="1" l="1"/>
  <c r="A198" i="1"/>
  <c r="D197" i="1"/>
  <c r="B197" i="1"/>
  <c r="C197" i="1" l="1"/>
  <c r="A199" i="1"/>
  <c r="B198" i="1"/>
  <c r="D198" i="1"/>
  <c r="C198" i="1" l="1"/>
  <c r="A200" i="1"/>
  <c r="D199" i="1"/>
  <c r="B199" i="1"/>
  <c r="C199" i="1" s="1"/>
  <c r="A201" i="1" l="1"/>
  <c r="D200" i="1"/>
  <c r="B200" i="1"/>
  <c r="C200" i="1" s="1"/>
  <c r="A202" i="1" l="1"/>
  <c r="D201" i="1"/>
  <c r="B201" i="1"/>
  <c r="C201" i="1" l="1"/>
  <c r="A203" i="1"/>
  <c r="D202" i="1"/>
  <c r="B202" i="1"/>
  <c r="C202" i="1" l="1"/>
  <c r="A204" i="1"/>
  <c r="D203" i="1"/>
  <c r="B203" i="1"/>
  <c r="C203" i="1" l="1"/>
  <c r="A205" i="1"/>
  <c r="B204" i="1"/>
  <c r="D204" i="1"/>
  <c r="C204" i="1" l="1"/>
  <c r="A206" i="1"/>
  <c r="D205" i="1"/>
  <c r="B205" i="1"/>
  <c r="C205" i="1" s="1"/>
  <c r="A207" i="1" l="1"/>
  <c r="D206" i="1"/>
  <c r="B206" i="1"/>
  <c r="C206" i="1" l="1"/>
  <c r="A208" i="1"/>
  <c r="D207" i="1"/>
  <c r="B207" i="1"/>
  <c r="C207" i="1" s="1"/>
  <c r="A209" i="1" l="1"/>
  <c r="B208" i="1"/>
  <c r="D208" i="1"/>
  <c r="C208" i="1" l="1"/>
  <c r="A210" i="1"/>
  <c r="D209" i="1"/>
  <c r="B209" i="1"/>
  <c r="C209" i="1" l="1"/>
  <c r="A211" i="1"/>
  <c r="D210" i="1"/>
  <c r="B210" i="1"/>
  <c r="C210" i="1" s="1"/>
  <c r="A212" i="1" l="1"/>
  <c r="D211" i="1"/>
  <c r="B211" i="1"/>
  <c r="C211" i="1" l="1"/>
  <c r="A213" i="1"/>
  <c r="D212" i="1"/>
  <c r="B212" i="1"/>
  <c r="C212" i="1" l="1"/>
  <c r="A214" i="1"/>
  <c r="D213" i="1"/>
  <c r="B213" i="1"/>
  <c r="C213" i="1" s="1"/>
  <c r="A215" i="1" l="1"/>
  <c r="D214" i="1"/>
  <c r="B214" i="1"/>
  <c r="C214" i="1" l="1"/>
  <c r="A216" i="1"/>
  <c r="B215" i="1"/>
  <c r="D215" i="1"/>
  <c r="C215" i="1" l="1"/>
  <c r="A217" i="1"/>
  <c r="D216" i="1"/>
  <c r="B216" i="1"/>
  <c r="C216" i="1" s="1"/>
  <c r="A218" i="1" l="1"/>
  <c r="B217" i="1"/>
  <c r="D217" i="1"/>
  <c r="C217" i="1" l="1"/>
  <c r="A219" i="1"/>
  <c r="D218" i="1"/>
  <c r="B218" i="1"/>
  <c r="C218" i="1" s="1"/>
  <c r="A220" i="1" l="1"/>
  <c r="B219" i="1"/>
  <c r="D219" i="1"/>
  <c r="C219" i="1" l="1"/>
  <c r="A221" i="1"/>
  <c r="B220" i="1"/>
  <c r="D220" i="1"/>
  <c r="C220" i="1" l="1"/>
  <c r="A222" i="1"/>
  <c r="B221" i="1"/>
  <c r="D221" i="1"/>
  <c r="C221" i="1" l="1"/>
  <c r="B222" i="1"/>
  <c r="D222" i="1"/>
  <c r="C222" i="1" l="1"/>
</calcChain>
</file>

<file path=xl/sharedStrings.xml><?xml version="1.0" encoding="utf-8"?>
<sst xmlns="http://schemas.openxmlformats.org/spreadsheetml/2006/main" count="20" uniqueCount="20">
  <si>
    <t>Series RLC Circuit — Step Response (Underdamped)</t>
  </si>
  <si>
    <t>Voltage across R, L, and C vs. time after a step input V0 is applied at t = 0</t>
  </si>
  <si>
    <t>Circuit Parameters (editable inputs)</t>
  </si>
  <si>
    <t>Resistance, R (ohm)</t>
  </si>
  <si>
    <t>Inductance, L (H)</t>
  </si>
  <si>
    <t>Capacitance, C (F)</t>
  </si>
  <si>
    <t>Step input voltage, V0 (V)</t>
  </si>
  <si>
    <t>Derived Quantities</t>
  </si>
  <si>
    <t>Damping factor, alpha = R/(2L)  (1/s)</t>
  </si>
  <si>
    <t>Natural (resonant) frequency, omega0 = 1/sqrt(LC)  (rad/s)</t>
  </si>
  <si>
    <t>Damped natural frequency, omega_d = sqrt(omega0^2 - alpha^2)  (rad/s)</t>
  </si>
  <si>
    <t>Damped period, T_d = 2*PI()/omega_d  (s)</t>
  </si>
  <si>
    <t>Simulation end time, t_end = 2.5 * T_d  (s)</t>
  </si>
  <si>
    <t>Number of time steps, N</t>
  </si>
  <si>
    <t>Time step, dt = t_end / N  (s)</t>
  </si>
  <si>
    <t>Model: series RLC circuit, capacitor initially uncharged, zero initial current, step voltage V0 applied at t=0. Underdamped case assumed (R &lt; 2*sqrt(L/C)); check alpha &lt; omega0 above. KVL: V0 = vR(t) + vL(t) + vC(t) at every instant.</t>
  </si>
  <si>
    <t>Time (s)</t>
  </si>
  <si>
    <t>V_R - Voltage across Resistor (V)</t>
  </si>
  <si>
    <t>V_L - Voltage across Inductor (V)</t>
  </si>
  <si>
    <t>V_C - Voltage across Capacitor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</si>
</sst>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i/>
      <sz val="9"/>
      <color rgb="FF66666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D9E1F2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0" fontId="3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Voltage Across R, L, and C vs.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'RLC Transient'!$B$21</c:f>
              <c:strCache>
                <c:ptCount val="1"/>
                <c:pt idx="0">
                  <c:v>V_R - Voltage across Resistor (V)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'RLC Transient'!$A$22:$A$222</c:f>
              <c:numCache>
                <c:formatCode>0.000000</c:formatCode>
                <c:ptCount val="201"/>
                <c:pt idx="0">
                  <c:v>0</c:v>
                </c:pt>
                <c:pt idx="1">
                  <c:v>3.4608744573731806E-4</c:v>
                </c:pt>
                <c:pt idx="2">
                  <c:v>6.9217489147463613E-4</c:v>
                </c:pt>
                <c:pt idx="3">
                  <c:v>1.0382623372119542E-3</c:v>
                </c:pt>
                <c:pt idx="4">
                  <c:v>1.3843497829492723E-3</c:v>
                </c:pt>
                <c:pt idx="5">
                  <c:v>1.7304372286865903E-3</c:v>
                </c:pt>
                <c:pt idx="6">
                  <c:v>2.0765246744239084E-3</c:v>
                </c:pt>
                <c:pt idx="7">
                  <c:v>2.4226121201612267E-3</c:v>
                </c:pt>
                <c:pt idx="8">
                  <c:v>2.7686995658985445E-3</c:v>
                </c:pt>
                <c:pt idx="9">
                  <c:v>3.1147870116358624E-3</c:v>
                </c:pt>
                <c:pt idx="10">
                  <c:v>3.4608744573731802E-3</c:v>
                </c:pt>
                <c:pt idx="11">
                  <c:v>3.806961903110498E-3</c:v>
                </c:pt>
                <c:pt idx="12">
                  <c:v>4.1530493488478159E-3</c:v>
                </c:pt>
                <c:pt idx="13">
                  <c:v>4.4991367945851337E-3</c:v>
                </c:pt>
                <c:pt idx="14">
                  <c:v>4.8452242403224516E-3</c:v>
                </c:pt>
                <c:pt idx="15">
                  <c:v>5.1913116860597694E-3</c:v>
                </c:pt>
                <c:pt idx="16">
                  <c:v>5.5373991317970873E-3</c:v>
                </c:pt>
                <c:pt idx="17">
                  <c:v>5.8834865775344051E-3</c:v>
                </c:pt>
                <c:pt idx="18">
                  <c:v>6.229574023271723E-3</c:v>
                </c:pt>
                <c:pt idx="19">
                  <c:v>6.5756614690090408E-3</c:v>
                </c:pt>
                <c:pt idx="20">
                  <c:v>6.9217489147463587E-3</c:v>
                </c:pt>
                <c:pt idx="21">
                  <c:v>7.2678363604836765E-3</c:v>
                </c:pt>
                <c:pt idx="22">
                  <c:v>7.6139238062209944E-3</c:v>
                </c:pt>
                <c:pt idx="23">
                  <c:v>7.9600112519583131E-3</c:v>
                </c:pt>
                <c:pt idx="24">
                  <c:v>8.3060986976956318E-3</c:v>
                </c:pt>
                <c:pt idx="25">
                  <c:v>8.6521861434329505E-3</c:v>
                </c:pt>
                <c:pt idx="26">
                  <c:v>8.9982735891702692E-3</c:v>
                </c:pt>
                <c:pt idx="27">
                  <c:v>9.3443610349075879E-3</c:v>
                </c:pt>
                <c:pt idx="28">
                  <c:v>9.6904484806449066E-3</c:v>
                </c:pt>
                <c:pt idx="29">
                  <c:v>1.0036535926382225E-2</c:v>
                </c:pt>
                <c:pt idx="30">
                  <c:v>1.0382623372119544E-2</c:v>
                </c:pt>
                <c:pt idx="31">
                  <c:v>1.0728710817856863E-2</c:v>
                </c:pt>
                <c:pt idx="32">
                  <c:v>1.1074798263594181E-2</c:v>
                </c:pt>
                <c:pt idx="33">
                  <c:v>1.14208857093315E-2</c:v>
                </c:pt>
                <c:pt idx="34">
                  <c:v>1.1766973155068819E-2</c:v>
                </c:pt>
                <c:pt idx="35">
                  <c:v>1.2113060600806138E-2</c:v>
                </c:pt>
                <c:pt idx="36">
                  <c:v>1.2459148046543456E-2</c:v>
                </c:pt>
                <c:pt idx="37">
                  <c:v>1.2805235492280775E-2</c:v>
                </c:pt>
                <c:pt idx="38">
                  <c:v>1.3151322938018094E-2</c:v>
                </c:pt>
                <c:pt idx="39">
                  <c:v>1.3497410383755412E-2</c:v>
                </c:pt>
                <c:pt idx="40">
                  <c:v>1.3843497829492731E-2</c:v>
                </c:pt>
                <c:pt idx="41">
                  <c:v>1.418958527523005E-2</c:v>
                </c:pt>
                <c:pt idx="42">
                  <c:v>1.4535672720967369E-2</c:v>
                </c:pt>
                <c:pt idx="43">
                  <c:v>1.4881760166704687E-2</c:v>
                </c:pt>
                <c:pt idx="44">
                  <c:v>1.5227847612442006E-2</c:v>
                </c:pt>
                <c:pt idx="45">
                  <c:v>1.5573935058179325E-2</c:v>
                </c:pt>
                <c:pt idx="46">
                  <c:v>1.5920022503916643E-2</c:v>
                </c:pt>
                <c:pt idx="47">
                  <c:v>1.626610994965396E-2</c:v>
                </c:pt>
                <c:pt idx="48">
                  <c:v>1.6612197395391277E-2</c:v>
                </c:pt>
                <c:pt idx="49">
                  <c:v>1.6958284841128594E-2</c:v>
                </c:pt>
                <c:pt idx="50">
                  <c:v>1.7304372286865911E-2</c:v>
                </c:pt>
                <c:pt idx="51">
                  <c:v>1.7650459732603228E-2</c:v>
                </c:pt>
                <c:pt idx="52">
                  <c:v>1.7996547178340545E-2</c:v>
                </c:pt>
                <c:pt idx="53">
                  <c:v>1.8342634624077862E-2</c:v>
                </c:pt>
                <c:pt idx="54">
                  <c:v>1.8688722069815179E-2</c:v>
                </c:pt>
                <c:pt idx="55">
                  <c:v>1.9034809515552496E-2</c:v>
                </c:pt>
                <c:pt idx="56">
                  <c:v>1.9380896961289813E-2</c:v>
                </c:pt>
                <c:pt idx="57">
                  <c:v>1.972698440702713E-2</c:v>
                </c:pt>
                <c:pt idx="58">
                  <c:v>2.0073071852764447E-2</c:v>
                </c:pt>
                <c:pt idx="59">
                  <c:v>2.0419159298501764E-2</c:v>
                </c:pt>
                <c:pt idx="60">
                  <c:v>2.0765246744239081E-2</c:v>
                </c:pt>
                <c:pt idx="61">
                  <c:v>2.1111334189976398E-2</c:v>
                </c:pt>
                <c:pt idx="62">
                  <c:v>2.1457421635713715E-2</c:v>
                </c:pt>
                <c:pt idx="63">
                  <c:v>2.1803509081451032E-2</c:v>
                </c:pt>
                <c:pt idx="64">
                  <c:v>2.2149596527188349E-2</c:v>
                </c:pt>
                <c:pt idx="65">
                  <c:v>2.2495683972925666E-2</c:v>
                </c:pt>
                <c:pt idx="66">
                  <c:v>2.2841771418662983E-2</c:v>
                </c:pt>
                <c:pt idx="67">
                  <c:v>2.31878588644003E-2</c:v>
                </c:pt>
                <c:pt idx="68">
                  <c:v>2.3533946310137617E-2</c:v>
                </c:pt>
                <c:pt idx="69">
                  <c:v>2.3880033755874934E-2</c:v>
                </c:pt>
                <c:pt idx="70">
                  <c:v>2.4226121201612251E-2</c:v>
                </c:pt>
                <c:pt idx="71">
                  <c:v>2.4572208647349568E-2</c:v>
                </c:pt>
                <c:pt idx="72">
                  <c:v>2.4918296093086885E-2</c:v>
                </c:pt>
                <c:pt idx="73">
                  <c:v>2.5264383538824202E-2</c:v>
                </c:pt>
                <c:pt idx="74">
                  <c:v>2.5610470984561519E-2</c:v>
                </c:pt>
                <c:pt idx="75">
                  <c:v>2.5956558430298836E-2</c:v>
                </c:pt>
                <c:pt idx="76">
                  <c:v>2.6302645876036153E-2</c:v>
                </c:pt>
                <c:pt idx="77">
                  <c:v>2.664873332177347E-2</c:v>
                </c:pt>
                <c:pt idx="78">
                  <c:v>2.6994820767510787E-2</c:v>
                </c:pt>
                <c:pt idx="79">
                  <c:v>2.7340908213248104E-2</c:v>
                </c:pt>
                <c:pt idx="80">
                  <c:v>2.7686995658985421E-2</c:v>
                </c:pt>
                <c:pt idx="81">
                  <c:v>2.8033083104722738E-2</c:v>
                </c:pt>
                <c:pt idx="82">
                  <c:v>2.8379170550460055E-2</c:v>
                </c:pt>
                <c:pt idx="83">
                  <c:v>2.8725257996197372E-2</c:v>
                </c:pt>
                <c:pt idx="84">
                  <c:v>2.9071345441934689E-2</c:v>
                </c:pt>
                <c:pt idx="85">
                  <c:v>2.9417432887672006E-2</c:v>
                </c:pt>
                <c:pt idx="86">
                  <c:v>2.9763520333409323E-2</c:v>
                </c:pt>
                <c:pt idx="87">
                  <c:v>3.010960777914664E-2</c:v>
                </c:pt>
                <c:pt idx="88">
                  <c:v>3.0455695224883957E-2</c:v>
                </c:pt>
                <c:pt idx="89">
                  <c:v>3.0801782670621274E-2</c:v>
                </c:pt>
                <c:pt idx="90">
                  <c:v>3.1147870116358591E-2</c:v>
                </c:pt>
                <c:pt idx="91">
                  <c:v>3.1493957562095908E-2</c:v>
                </c:pt>
                <c:pt idx="92">
                  <c:v>3.1840045007833224E-2</c:v>
                </c:pt>
                <c:pt idx="93">
                  <c:v>3.2186132453570541E-2</c:v>
                </c:pt>
                <c:pt idx="94">
                  <c:v>3.2532219899307858E-2</c:v>
                </c:pt>
                <c:pt idx="95">
                  <c:v>3.2878307345045175E-2</c:v>
                </c:pt>
                <c:pt idx="96">
                  <c:v>3.3224394790782492E-2</c:v>
                </c:pt>
                <c:pt idx="97">
                  <c:v>3.3570482236519809E-2</c:v>
                </c:pt>
                <c:pt idx="98">
                  <c:v>3.3916569682257126E-2</c:v>
                </c:pt>
                <c:pt idx="99">
                  <c:v>3.4262657127994443E-2</c:v>
                </c:pt>
                <c:pt idx="100">
                  <c:v>3.460874457373176E-2</c:v>
                </c:pt>
                <c:pt idx="101">
                  <c:v>3.4954832019469077E-2</c:v>
                </c:pt>
                <c:pt idx="102">
                  <c:v>3.5300919465206394E-2</c:v>
                </c:pt>
                <c:pt idx="103">
                  <c:v>3.5647006910943711E-2</c:v>
                </c:pt>
                <c:pt idx="104">
                  <c:v>3.5993094356681028E-2</c:v>
                </c:pt>
                <c:pt idx="105">
                  <c:v>3.6339181802418345E-2</c:v>
                </c:pt>
                <c:pt idx="106">
                  <c:v>3.6685269248155662E-2</c:v>
                </c:pt>
                <c:pt idx="107">
                  <c:v>3.7031356693892979E-2</c:v>
                </c:pt>
                <c:pt idx="108">
                  <c:v>3.7377444139630296E-2</c:v>
                </c:pt>
                <c:pt idx="109">
                  <c:v>3.7723531585367613E-2</c:v>
                </c:pt>
                <c:pt idx="110">
                  <c:v>3.806961903110493E-2</c:v>
                </c:pt>
                <c:pt idx="111">
                  <c:v>3.8415706476842247E-2</c:v>
                </c:pt>
                <c:pt idx="112">
                  <c:v>3.8761793922579564E-2</c:v>
                </c:pt>
                <c:pt idx="113">
                  <c:v>3.9107881368316881E-2</c:v>
                </c:pt>
                <c:pt idx="114">
                  <c:v>3.9453968814054198E-2</c:v>
                </c:pt>
                <c:pt idx="115">
                  <c:v>3.9800056259791515E-2</c:v>
                </c:pt>
                <c:pt idx="116">
                  <c:v>4.0146143705528832E-2</c:v>
                </c:pt>
                <c:pt idx="117">
                  <c:v>4.0492231151266149E-2</c:v>
                </c:pt>
                <c:pt idx="118">
                  <c:v>4.0838318597003466E-2</c:v>
                </c:pt>
                <c:pt idx="119">
                  <c:v>4.1184406042740783E-2</c:v>
                </c:pt>
                <c:pt idx="120">
                  <c:v>4.15304934884781E-2</c:v>
                </c:pt>
                <c:pt idx="121">
                  <c:v>4.1876580934215417E-2</c:v>
                </c:pt>
                <c:pt idx="122">
                  <c:v>4.2222668379952734E-2</c:v>
                </c:pt>
                <c:pt idx="123">
                  <c:v>4.2568755825690051E-2</c:v>
                </c:pt>
                <c:pt idx="124">
                  <c:v>4.2914843271427368E-2</c:v>
                </c:pt>
                <c:pt idx="125">
                  <c:v>4.3260930717164685E-2</c:v>
                </c:pt>
                <c:pt idx="126">
                  <c:v>4.3607018162902002E-2</c:v>
                </c:pt>
                <c:pt idx="127">
                  <c:v>4.3953105608639319E-2</c:v>
                </c:pt>
                <c:pt idx="128">
                  <c:v>4.4299193054376636E-2</c:v>
                </c:pt>
                <c:pt idx="129">
                  <c:v>4.4645280500113953E-2</c:v>
                </c:pt>
                <c:pt idx="130">
                  <c:v>4.499136794585127E-2</c:v>
                </c:pt>
                <c:pt idx="131">
                  <c:v>4.5337455391588587E-2</c:v>
                </c:pt>
                <c:pt idx="132">
                  <c:v>4.5683542837325904E-2</c:v>
                </c:pt>
                <c:pt idx="133">
                  <c:v>4.6029630283063221E-2</c:v>
                </c:pt>
                <c:pt idx="134">
                  <c:v>4.6375717728800538E-2</c:v>
                </c:pt>
                <c:pt idx="135">
                  <c:v>4.6721805174537855E-2</c:v>
                </c:pt>
                <c:pt idx="136">
                  <c:v>4.7067892620275172E-2</c:v>
                </c:pt>
                <c:pt idx="137">
                  <c:v>4.7413980066012489E-2</c:v>
                </c:pt>
                <c:pt idx="138">
                  <c:v>4.7760067511749806E-2</c:v>
                </c:pt>
                <c:pt idx="139">
                  <c:v>4.8106154957487123E-2</c:v>
                </c:pt>
                <c:pt idx="140">
                  <c:v>4.8452242403224439E-2</c:v>
                </c:pt>
                <c:pt idx="141">
                  <c:v>4.8798329848961756E-2</c:v>
                </c:pt>
                <c:pt idx="142">
                  <c:v>4.9144417294699073E-2</c:v>
                </c:pt>
                <c:pt idx="143">
                  <c:v>4.949050474043639E-2</c:v>
                </c:pt>
                <c:pt idx="144">
                  <c:v>4.9836592186173707E-2</c:v>
                </c:pt>
                <c:pt idx="145">
                  <c:v>5.0182679631911024E-2</c:v>
                </c:pt>
                <c:pt idx="146">
                  <c:v>5.0528767077648341E-2</c:v>
                </c:pt>
                <c:pt idx="147">
                  <c:v>5.0874854523385658E-2</c:v>
                </c:pt>
                <c:pt idx="148">
                  <c:v>5.1220941969122975E-2</c:v>
                </c:pt>
                <c:pt idx="149">
                  <c:v>5.1567029414860292E-2</c:v>
                </c:pt>
                <c:pt idx="150">
                  <c:v>5.1913116860597609E-2</c:v>
                </c:pt>
                <c:pt idx="151">
                  <c:v>5.2259204306334926E-2</c:v>
                </c:pt>
                <c:pt idx="152">
                  <c:v>5.2605291752072243E-2</c:v>
                </c:pt>
                <c:pt idx="153">
                  <c:v>5.295137919780956E-2</c:v>
                </c:pt>
                <c:pt idx="154">
                  <c:v>5.3297466643546877E-2</c:v>
                </c:pt>
                <c:pt idx="155">
                  <c:v>5.3643554089284194E-2</c:v>
                </c:pt>
                <c:pt idx="156">
                  <c:v>5.3989641535021511E-2</c:v>
                </c:pt>
                <c:pt idx="157">
                  <c:v>5.4335728980758828E-2</c:v>
                </c:pt>
                <c:pt idx="158">
                  <c:v>5.4681816426496145E-2</c:v>
                </c:pt>
                <c:pt idx="159">
                  <c:v>5.5027903872233462E-2</c:v>
                </c:pt>
                <c:pt idx="160">
                  <c:v>5.5373991317970779E-2</c:v>
                </c:pt>
                <c:pt idx="161">
                  <c:v>5.5720078763708096E-2</c:v>
                </c:pt>
                <c:pt idx="162">
                  <c:v>5.6066166209445413E-2</c:v>
                </c:pt>
                <c:pt idx="163">
                  <c:v>5.641225365518273E-2</c:v>
                </c:pt>
                <c:pt idx="164">
                  <c:v>5.6758341100920047E-2</c:v>
                </c:pt>
                <c:pt idx="165">
                  <c:v>5.7104428546657364E-2</c:v>
                </c:pt>
                <c:pt idx="166">
                  <c:v>5.7450515992394681E-2</c:v>
                </c:pt>
                <c:pt idx="167">
                  <c:v>5.7796603438131998E-2</c:v>
                </c:pt>
                <c:pt idx="168">
                  <c:v>5.8142690883869315E-2</c:v>
                </c:pt>
                <c:pt idx="169">
                  <c:v>5.8488778329606632E-2</c:v>
                </c:pt>
                <c:pt idx="170">
                  <c:v>5.8834865775343949E-2</c:v>
                </c:pt>
                <c:pt idx="171">
                  <c:v>5.9180953221081266E-2</c:v>
                </c:pt>
                <c:pt idx="172">
                  <c:v>5.9527040666818583E-2</c:v>
                </c:pt>
                <c:pt idx="173">
                  <c:v>5.98731281125559E-2</c:v>
                </c:pt>
                <c:pt idx="174">
                  <c:v>6.0219215558293217E-2</c:v>
                </c:pt>
                <c:pt idx="175">
                  <c:v>6.0565303004030534E-2</c:v>
                </c:pt>
                <c:pt idx="176">
                  <c:v>6.0911390449767851E-2</c:v>
                </c:pt>
                <c:pt idx="177">
                  <c:v>6.1257477895505168E-2</c:v>
                </c:pt>
                <c:pt idx="178">
                  <c:v>6.1603565341242485E-2</c:v>
                </c:pt>
                <c:pt idx="179">
                  <c:v>6.1949652786979802E-2</c:v>
                </c:pt>
                <c:pt idx="180">
                  <c:v>6.2295740232717119E-2</c:v>
                </c:pt>
                <c:pt idx="181">
                  <c:v>6.2641827678454443E-2</c:v>
                </c:pt>
                <c:pt idx="182">
                  <c:v>6.298791512419176E-2</c:v>
                </c:pt>
                <c:pt idx="183">
                  <c:v>6.3334002569929077E-2</c:v>
                </c:pt>
                <c:pt idx="184">
                  <c:v>6.3680090015666393E-2</c:v>
                </c:pt>
                <c:pt idx="185">
                  <c:v>6.402617746140371E-2</c:v>
                </c:pt>
                <c:pt idx="186">
                  <c:v>6.4372264907141027E-2</c:v>
                </c:pt>
                <c:pt idx="187">
                  <c:v>6.4718352352878344E-2</c:v>
                </c:pt>
                <c:pt idx="188">
                  <c:v>6.5064439798615661E-2</c:v>
                </c:pt>
                <c:pt idx="189">
                  <c:v>6.5410527244352978E-2</c:v>
                </c:pt>
                <c:pt idx="190">
                  <c:v>6.5756614690090295E-2</c:v>
                </c:pt>
                <c:pt idx="191">
                  <c:v>6.6102702135827612E-2</c:v>
                </c:pt>
                <c:pt idx="192">
                  <c:v>6.6448789581564929E-2</c:v>
                </c:pt>
                <c:pt idx="193">
                  <c:v>6.6794877027302246E-2</c:v>
                </c:pt>
                <c:pt idx="194">
                  <c:v>6.7140964473039563E-2</c:v>
                </c:pt>
                <c:pt idx="195">
                  <c:v>6.748705191877688E-2</c:v>
                </c:pt>
                <c:pt idx="196">
                  <c:v>6.7833139364514197E-2</c:v>
                </c:pt>
                <c:pt idx="197">
                  <c:v>6.8179226810251514E-2</c:v>
                </c:pt>
                <c:pt idx="198">
                  <c:v>6.8525314255988831E-2</c:v>
                </c:pt>
                <c:pt idx="199">
                  <c:v>6.8871401701726148E-2</c:v>
                </c:pt>
                <c:pt idx="200">
                  <c:v>6.9217489147463465E-2</c:v>
                </c:pt>
              </c:numCache>
            </c:numRef>
          </c:cat>
          <c:val>
            <c:numRef>
              <c:f>'RLC Transient'!$B$22:$B$222</c:f>
              <c:numCache>
                <c:formatCode>0.0000</c:formatCode>
                <c:ptCount val="201"/>
                <c:pt idx="0">
                  <c:v>0</c:v>
                </c:pt>
                <c:pt idx="1">
                  <c:v>1.4096947690220176</c:v>
                </c:pt>
                <c:pt idx="2">
                  <c:v>2.6046380471320685</c:v>
                </c:pt>
                <c:pt idx="3">
                  <c:v>3.6019140166590211</c:v>
                </c:pt>
                <c:pt idx="4">
                  <c:v>4.4183854599720593</c:v>
                </c:pt>
                <c:pt idx="5">
                  <c:v>5.0705380561051854</c:v>
                </c:pt>
                <c:pt idx="6">
                  <c:v>5.5743508519843923</c:v>
                </c:pt>
                <c:pt idx="7">
                  <c:v>5.9451906473002722</c:v>
                </c:pt>
                <c:pt idx="8">
                  <c:v>6.1977280862739406</c:v>
                </c:pt>
                <c:pt idx="9">
                  <c:v>6.345873320581644</c:v>
                </c:pt>
                <c:pt idx="10">
                  <c:v>6.402729192370689</c:v>
                </c:pt>
                <c:pt idx="11">
                  <c:v>6.3805599817497756</c:v>
                </c:pt>
                <c:pt idx="12">
                  <c:v>6.2907738667890296</c:v>
                </c:pt>
                <c:pt idx="13">
                  <c:v>6.143917353610779</c:v>
                </c:pt>
                <c:pt idx="14">
                  <c:v>5.9496800475448826</c:v>
                </c:pt>
                <c:pt idx="15">
                  <c:v>5.7169082517608576</c:v>
                </c:pt>
                <c:pt idx="16">
                  <c:v>5.4536259957047948</c:v>
                </c:pt>
                <c:pt idx="17">
                  <c:v>5.1670622107089299</c:v>
                </c:pt>
                <c:pt idx="18">
                  <c:v>4.8636828831542118</c:v>
                </c:pt>
                <c:pt idx="19">
                  <c:v>4.5492271255843804</c:v>
                </c:pt>
                <c:pt idx="20">
                  <c:v>4.2287462123970823</c:v>
                </c:pt>
                <c:pt idx="21">
                  <c:v>3.9066447285309609</c:v>
                </c:pt>
                <c:pt idx="22">
                  <c:v>3.5867230764251756</c:v>
                </c:pt>
                <c:pt idx="23">
                  <c:v>3.2722206780724732</c:v>
                </c:pt>
                <c:pt idx="24">
                  <c:v>2.9658592949542788</c:v>
                </c:pt>
                <c:pt idx="25">
                  <c:v>2.6698859688708461</c:v>
                </c:pt>
                <c:pt idx="26">
                  <c:v>2.386115161082897</c:v>
                </c:pt>
                <c:pt idx="27">
                  <c:v>2.1159697357607015</c:v>
                </c:pt>
                <c:pt idx="28">
                  <c:v>1.8605204965543847</c:v>
                </c:pt>
                <c:pt idx="29">
                  <c:v>1.6205240422726981</c:v>
                </c:pt>
                <c:pt idx="30">
                  <c:v>1.3964587593498941</c:v>
                </c:pt>
                <c:pt idx="31">
                  <c:v>1.1885588151927944</c:v>
                </c:pt>
                <c:pt idx="32">
                  <c:v>0.996846057863644</c:v>
                </c:pt>
                <c:pt idx="33">
                  <c:v>0.82115976412365621</c:v>
                </c:pt>
                <c:pt idx="34">
                  <c:v>0.66118420990873683</c:v>
                </c:pt>
                <c:pt idx="35">
                  <c:v>0.51647406511646399</c:v>
                </c:pt>
                <c:pt idx="36">
                  <c:v>0.38647763844218852</c:v>
                </c:pt>
                <c:pt idx="37">
                  <c:v>0.27055801820554293</c:v>
                </c:pt>
                <c:pt idx="38">
                  <c:v>0.16801217194887016</c:v>
                </c:pt>
                <c:pt idx="39">
                  <c:v>7.8088081354491634E-2</c:v>
                </c:pt>
                <c:pt idx="40">
                  <c:v>-1.1157611438335524E-15</c:v>
                </c:pt>
                <c:pt idx="41">
                  <c:v>-6.7058070077220713E-2</c:v>
                </c:pt>
                <c:pt idx="42">
                  <c:v>-0.12390058084102079</c:v>
                </c:pt>
                <c:pt idx="43">
                  <c:v>-0.17134021339159095</c:v>
                </c:pt>
                <c:pt idx="44">
                  <c:v>-0.21017911700738423</c:v>
                </c:pt>
                <c:pt idx="45">
                  <c:v>-0.24120150245815478</c:v>
                </c:pt>
                <c:pt idx="46">
                  <c:v>-0.26516748042323296</c:v>
                </c:pt>
                <c:pt idx="47">
                  <c:v>-0.28280803746308486</c:v>
                </c:pt>
                <c:pt idx="48">
                  <c:v>-0.29482104457069169</c:v>
                </c:pt>
                <c:pt idx="49">
                  <c:v>-0.30186819670753612</c:v>
                </c:pt>
                <c:pt idx="50">
                  <c:v>-0.30457278575653735</c:v>
                </c:pt>
                <c:pt idx="51">
                  <c:v>-0.3035182138647759</c:v>
                </c:pt>
                <c:pt idx="52">
                  <c:v>-0.29924715907950761</c:v>
                </c:pt>
                <c:pt idx="53">
                  <c:v>-0.2922613103919684</c:v>
                </c:pt>
                <c:pt idx="54">
                  <c:v>-0.28302159469747545</c:v>
                </c:pt>
                <c:pt idx="55">
                  <c:v>-0.27194882367164935</c:v>
                </c:pt>
                <c:pt idx="56">
                  <c:v>-0.25942469407659952</c:v>
                </c:pt>
                <c:pt idx="57">
                  <c:v>-0.24579308048327006</c:v>
                </c:pt>
                <c:pt idx="58">
                  <c:v>-0.23136156477206535</c:v>
                </c:pt>
                <c:pt idx="59">
                  <c:v>-0.21640315200734192</c:v>
                </c:pt>
                <c:pt idx="60">
                  <c:v>-0.2011581273344942</c:v>
                </c:pt>
                <c:pt idx="61">
                  <c:v>-0.1858360133905971</c:v>
                </c:pt>
                <c:pt idx="62">
                  <c:v>-0.17061759232699847</c:v>
                </c:pt>
                <c:pt idx="63">
                  <c:v>-0.15565696089696179</c:v>
                </c:pt>
                <c:pt idx="64">
                  <c:v>-0.14108359115086694</c:v>
                </c:pt>
                <c:pt idx="65">
                  <c:v>-0.12700437309768522</c:v>
                </c:pt>
                <c:pt idx="66">
                  <c:v>-0.11350561923076474</c:v>
                </c:pt>
                <c:pt idx="67">
                  <c:v>-0.1006550140782297</c:v>
                </c:pt>
                <c:pt idx="68">
                  <c:v>-8.8503494926496187E-2</c:v>
                </c:pt>
                <c:pt idx="69">
                  <c:v>-7.7087052585101484E-2</c:v>
                </c:pt>
                <c:pt idx="70">
                  <c:v>-6.6428443520010511E-2</c:v>
                </c:pt>
                <c:pt idx="71">
                  <c:v>-5.6538806890367006E-2</c:v>
                </c:pt>
                <c:pt idx="72">
                  <c:v>-4.7419181991287682E-2</c:v>
                </c:pt>
                <c:pt idx="73">
                  <c:v>-3.9061923344867078E-2</c:v>
                </c:pt>
                <c:pt idx="74">
                  <c:v>-3.145201220599797E-2</c:v>
                </c:pt>
                <c:pt idx="75">
                  <c:v>-2.4568264572390017E-2</c:v>
                </c:pt>
                <c:pt idx="76">
                  <c:v>-1.8384436923118475E-2</c:v>
                </c:pt>
                <c:pt idx="77">
                  <c:v>-1.2870231871093967E-2</c:v>
                </c:pt>
                <c:pt idx="78">
                  <c:v>-7.9922067159191434E-3</c:v>
                </c:pt>
                <c:pt idx="79">
                  <c:v>-3.7145885384099976E-3</c:v>
                </c:pt>
                <c:pt idx="80">
                  <c:v>-2.8352166080707493E-16</c:v>
                </c:pt>
                <c:pt idx="81">
                  <c:v>3.1898995876962905E-3</c:v>
                </c:pt>
                <c:pt idx="82">
                  <c:v>5.8938530632479304E-3</c:v>
                </c:pt>
                <c:pt idx="83">
                  <c:v>8.1505190266328419E-3</c:v>
                </c:pt>
                <c:pt idx="84">
                  <c:v>9.9980550873626107E-3</c:v>
                </c:pt>
                <c:pt idx="85">
                  <c:v>1.1473765534215998E-2</c:v>
                </c:pt>
                <c:pt idx="86">
                  <c:v>1.261380823364824E-2</c:v>
                </c:pt>
                <c:pt idx="87">
                  <c:v>1.3452955640714446E-2</c:v>
                </c:pt>
                <c:pt idx="88">
                  <c:v>1.4024404929001828E-2</c:v>
                </c:pt>
                <c:pt idx="89">
                  <c:v>1.4359632406766562E-2</c:v>
                </c:pt>
                <c:pt idx="90">
                  <c:v>1.448828757805861E-2</c:v>
                </c:pt>
                <c:pt idx="91">
                  <c:v>1.4438122423605898E-2</c:v>
                </c:pt>
                <c:pt idx="92">
                  <c:v>1.4234951710776461E-2</c:v>
                </c:pt>
                <c:pt idx="93">
                  <c:v>1.3902640389820899E-2</c:v>
                </c:pt>
                <c:pt idx="94">
                  <c:v>1.3463114390185734E-2</c:v>
                </c:pt>
                <c:pt idx="95">
                  <c:v>1.2936391391905798E-2</c:v>
                </c:pt>
                <c:pt idx="96">
                  <c:v>1.2340628409381799E-2</c:v>
                </c:pt>
                <c:pt idx="97">
                  <c:v>1.1692183285164422E-2</c:v>
                </c:pt>
                <c:pt idx="98">
                  <c:v>1.100568744709458E-2</c:v>
                </c:pt>
                <c:pt idx="99">
                  <c:v>1.0294127531101779E-2</c:v>
                </c:pt>
                <c:pt idx="100">
                  <c:v>9.5689337123363114E-3</c:v>
                </c:pt>
                <c:pt idx="101">
                  <c:v>8.8400728176521413E-3</c:v>
                </c:pt>
                <c:pt idx="102">
                  <c:v>8.1161445116292516E-3</c:v>
                </c:pt>
                <c:pt idx="103">
                  <c:v>7.4044790554746113E-3</c:v>
                </c:pt>
                <c:pt idx="104">
                  <c:v>6.7112353326700992E-3</c:v>
                </c:pt>
                <c:pt idx="105">
                  <c:v>6.041498016770357E-3</c:v>
                </c:pt>
                <c:pt idx="106">
                  <c:v>5.3993729251158801E-3</c:v>
                </c:pt>
                <c:pt idx="107">
                  <c:v>4.7880797574103495E-3</c:v>
                </c:pt>
                <c:pt idx="108">
                  <c:v>4.2100415602572567E-3</c:v>
                </c:pt>
                <c:pt idx="109">
                  <c:v>3.6669703881247891E-3</c:v>
                </c:pt>
                <c:pt idx="110">
                  <c:v>3.1599487481789867E-3</c:v>
                </c:pt>
                <c:pt idx="111">
                  <c:v>2.6895065214486143E-3</c:v>
                </c:pt>
                <c:pt idx="112">
                  <c:v>2.2556931463839584E-3</c:v>
                </c:pt>
                <c:pt idx="113">
                  <c:v>1.8581449336216166E-3</c:v>
                </c:pt>
                <c:pt idx="114">
                  <c:v>1.4961474532835576E-3</c:v>
                </c:pt>
                <c:pt idx="115">
                  <c:v>1.1686929990625027E-3</c:v>
                </c:pt>
                <c:pt idx="116">
                  <c:v>8.7453318733390472E-4</c:v>
                </c:pt>
                <c:pt idx="117">
                  <c:v>6.1222679525205161E-4</c:v>
                </c:pt>
                <c:pt idx="118">
                  <c:v>3.8018297989399983E-4</c:v>
                </c:pt>
                <c:pt idx="119">
                  <c:v>1.7670005166407651E-4</c:v>
                </c:pt>
                <c:pt idx="120">
                  <c:v>3.7839988005481525E-17</c:v>
                </c:pt>
                <c:pt idx="121">
                  <c:v>-1.5174101145271681E-4</c:v>
                </c:pt>
                <c:pt idx="122">
                  <c:v>-2.8036594901624566E-4</c:v>
                </c:pt>
                <c:pt idx="123">
                  <c:v>-3.877137718492182E-4</c:v>
                </c:pt>
                <c:pt idx="124">
                  <c:v>-4.7559960738832849E-4</c:v>
                </c:pt>
                <c:pt idx="125">
                  <c:v>-5.4579799127495697E-4</c:v>
                </c:pt>
                <c:pt idx="126">
                  <c:v>-6.0002892474333568E-4</c:v>
                </c:pt>
                <c:pt idx="127">
                  <c:v>-6.3994650609834397E-4</c:v>
                </c:pt>
                <c:pt idx="128">
                  <c:v>-6.6712989874591583E-4</c:v>
                </c:pt>
                <c:pt idx="129">
                  <c:v>-6.8307640588331233E-4</c:v>
                </c:pt>
                <c:pt idx="130">
                  <c:v>-6.8919643107024351E-4</c:v>
                </c:pt>
                <c:pt idx="131">
                  <c:v>-6.868101141762282E-4</c:v>
                </c:pt>
                <c:pt idx="132">
                  <c:v>-6.77145443356739E-4</c:v>
                </c:pt>
                <c:pt idx="133">
                  <c:v>-6.6133765550238589E-4</c:v>
                </c:pt>
                <c:pt idx="134">
                  <c:v>-6.4042974981104147E-4</c:v>
                </c:pt>
                <c:pt idx="135">
                  <c:v>-6.1537395155874088E-4</c:v>
                </c:pt>
                <c:pt idx="136">
                  <c:v>-5.8703397562251554E-4</c:v>
                </c:pt>
                <c:pt idx="137">
                  <c:v>-5.5618795169127416E-4</c:v>
                </c:pt>
                <c:pt idx="138">
                  <c:v>-5.2353188526567179E-4</c:v>
                </c:pt>
                <c:pt idx="139">
                  <c:v>-4.8968354039035614E-4</c:v>
                </c:pt>
                <c:pt idx="140">
                  <c:v>-4.5518664149636428E-4</c:v>
                </c:pt>
                <c:pt idx="141">
                  <c:v>-4.2051530268861353E-4</c:v>
                </c:pt>
                <c:pt idx="142">
                  <c:v>-3.8607860323923958E-4</c:v>
                </c:pt>
                <c:pt idx="143">
                  <c:v>-3.5222523790153453E-4</c:v>
                </c:pt>
                <c:pt idx="144">
                  <c:v>-3.1924817991282618E-4</c:v>
                </c:pt>
                <c:pt idx="145">
                  <c:v>-2.8738930319010723E-4</c:v>
                </c:pt>
                <c:pt idx="146">
                  <c:v>-2.5684391823107758E-4</c:v>
                </c:pt>
                <c:pt idx="147">
                  <c:v>-2.2776518361524161E-4</c:v>
                </c:pt>
                <c:pt idx="148">
                  <c:v>-2.0026836176146332E-4</c:v>
                </c:pt>
                <c:pt idx="149">
                  <c:v>-1.7443489375261066E-4</c:v>
                </c:pt>
                <c:pt idx="150">
                  <c:v>-1.5031627360213626E-4</c:v>
                </c:pt>
                <c:pt idx="151">
                  <c:v>-1.2793770733331562E-4</c:v>
                </c:pt>
                <c:pt idx="152">
                  <c:v>-1.0730154669429801E-4</c:v>
                </c:pt>
                <c:pt idx="153">
                  <c:v>-8.8390491268458625E-5</c:v>
                </c:pt>
                <c:pt idx="154">
                  <c:v>-7.1170556189088652E-5</c:v>
                </c:pt>
                <c:pt idx="155">
                  <c:v>-5.5593805660683364E-5</c:v>
                </c:pt>
                <c:pt idx="156">
                  <c:v>-4.160085505728223E-5</c:v>
                </c:pt>
                <c:pt idx="157">
                  <c:v>-2.9123146543026441E-5</c:v>
                </c:pt>
                <c:pt idx="158">
                  <c:v>-1.8085004972804778E-5</c:v>
                </c:pt>
                <c:pt idx="159">
                  <c:v>-8.4054823125719137E-6</c:v>
                </c:pt>
                <c:pt idx="160">
                  <c:v>-2.6939461406472741E-18</c:v>
                </c:pt>
                <c:pt idx="161">
                  <c:v>7.2182004240836306E-6</c:v>
                </c:pt>
                <c:pt idx="162">
                  <c:v>1.3336787416356582E-5</c:v>
                </c:pt>
                <c:pt idx="163">
                  <c:v>1.844323881587809E-5</c:v>
                </c:pt>
                <c:pt idx="164">
                  <c:v>2.2623898805462535E-5</c:v>
                </c:pt>
                <c:pt idx="165">
                  <c:v>2.5963180648185919E-5</c:v>
                </c:pt>
                <c:pt idx="166">
                  <c:v>2.85429034483198E-5</c:v>
                </c:pt>
                <c:pt idx="167">
                  <c:v>3.0441751359683257E-5</c:v>
                </c:pt>
                <c:pt idx="168">
                  <c:v>3.1734843941960618E-5</c:v>
                </c:pt>
                <c:pt idx="169">
                  <c:v>3.2493406729171917E-5</c:v>
                </c:pt>
                <c:pt idx="170">
                  <c:v>3.2784531508009293E-5</c:v>
                </c:pt>
                <c:pt idx="171">
                  <c:v>3.2671016292501778E-5</c:v>
                </c:pt>
                <c:pt idx="172">
                  <c:v>3.2211275512207761E-5</c:v>
                </c:pt>
                <c:pt idx="173">
                  <c:v>3.1459311492054438E-5</c:v>
                </c:pt>
                <c:pt idx="174">
                  <c:v>3.0464738882559183E-5</c:v>
                </c:pt>
                <c:pt idx="175">
                  <c:v>2.9272854290259082E-5</c:v>
                </c:pt>
                <c:pt idx="176">
                  <c:v>2.7924743951709311E-5</c:v>
                </c:pt>
                <c:pt idx="177">
                  <c:v>2.6457422883461475E-5</c:v>
                </c:pt>
                <c:pt idx="178">
                  <c:v>2.4903999519101792E-5</c:v>
                </c:pt>
                <c:pt idx="179">
                  <c:v>2.3293860407766727E-5</c:v>
                </c:pt>
                <c:pt idx="180">
                  <c:v>2.1652870092476786E-5</c:v>
                </c:pt>
                <c:pt idx="181">
                  <c:v>2.0003581807854581E-5</c:v>
                </c:pt>
                <c:pt idx="182">
                  <c:v>1.8365455132740121E-5</c:v>
                </c:pt>
                <c:pt idx="183">
                  <c:v>1.6755077201962614E-5</c:v>
                </c:pt>
                <c:pt idx="184">
                  <c:v>1.5186384521715594E-5</c:v>
                </c:pt>
                <c:pt idx="185">
                  <c:v>1.3670882843763186E-5</c:v>
                </c:pt>
                <c:pt idx="186">
                  <c:v>1.2217862934680804E-5</c:v>
                </c:pt>
                <c:pt idx="187">
                  <c:v>1.0834610427488481E-5</c:v>
                </c:pt>
                <c:pt idx="188">
                  <c:v>9.5266082646864489E-6</c:v>
                </c:pt>
                <c:pt idx="189">
                  <c:v>8.2977305344547561E-6</c:v>
                </c:pt>
                <c:pt idx="190">
                  <c:v>7.1504267664635965E-6</c:v>
                </c:pt>
                <c:pt idx="191">
                  <c:v>6.0858959913913665E-6</c:v>
                </c:pt>
                <c:pt idx="192">
                  <c:v>5.10425008004556E-6</c:v>
                </c:pt>
                <c:pt idx="193">
                  <c:v>4.2046660652308501E-6</c:v>
                </c:pt>
                <c:pt idx="194">
                  <c:v>3.3855273135997543E-6</c:v>
                </c:pt>
                <c:pt idx="195">
                  <c:v>2.6445535571078849E-6</c:v>
                </c:pt>
                <c:pt idx="196">
                  <c:v>1.9789199158616046E-6</c:v>
                </c:pt>
                <c:pt idx="197">
                  <c:v>1.3853651475960005E-6</c:v>
                </c:pt>
                <c:pt idx="198">
                  <c:v>8.6028944524965193E-7</c:v>
                </c:pt>
                <c:pt idx="199">
                  <c:v>3.9984217458676292E-7</c:v>
                </c:pt>
                <c:pt idx="200">
                  <c:v>1.7067233369770457E-19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99C-4EB9-AA98-992E28CC9579}"/>
            </c:ext>
          </c:extLst>
        </c:ser>
        <c:ser>
          <c:idx val="1"/>
          <c:order val="1"/>
          <c:tx>
            <c:strRef>
              <c:f>'RLC Transient'!$C$21</c:f>
              <c:strCache>
                <c:ptCount val="1"/>
                <c:pt idx="0">
                  <c:v>V_L - Voltage across Inductor (V)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'RLC Transient'!$A$22:$A$222</c:f>
              <c:numCache>
                <c:formatCode>0.000000</c:formatCode>
                <c:ptCount val="201"/>
                <c:pt idx="0">
                  <c:v>0</c:v>
                </c:pt>
                <c:pt idx="1">
                  <c:v>3.4608744573731806E-4</c:v>
                </c:pt>
                <c:pt idx="2">
                  <c:v>6.9217489147463613E-4</c:v>
                </c:pt>
                <c:pt idx="3">
                  <c:v>1.0382623372119542E-3</c:v>
                </c:pt>
                <c:pt idx="4">
                  <c:v>1.3843497829492723E-3</c:v>
                </c:pt>
                <c:pt idx="5">
                  <c:v>1.7304372286865903E-3</c:v>
                </c:pt>
                <c:pt idx="6">
                  <c:v>2.0765246744239084E-3</c:v>
                </c:pt>
                <c:pt idx="7">
                  <c:v>2.4226121201612267E-3</c:v>
                </c:pt>
                <c:pt idx="8">
                  <c:v>2.7686995658985445E-3</c:v>
                </c:pt>
                <c:pt idx="9">
                  <c:v>3.1147870116358624E-3</c:v>
                </c:pt>
                <c:pt idx="10">
                  <c:v>3.4608744573731802E-3</c:v>
                </c:pt>
                <c:pt idx="11">
                  <c:v>3.806961903110498E-3</c:v>
                </c:pt>
                <c:pt idx="12">
                  <c:v>4.1530493488478159E-3</c:v>
                </c:pt>
                <c:pt idx="13">
                  <c:v>4.4991367945851337E-3</c:v>
                </c:pt>
                <c:pt idx="14">
                  <c:v>4.8452242403224516E-3</c:v>
                </c:pt>
                <c:pt idx="15">
                  <c:v>5.1913116860597694E-3</c:v>
                </c:pt>
                <c:pt idx="16">
                  <c:v>5.5373991317970873E-3</c:v>
                </c:pt>
                <c:pt idx="17">
                  <c:v>5.8834865775344051E-3</c:v>
                </c:pt>
                <c:pt idx="18">
                  <c:v>6.229574023271723E-3</c:v>
                </c:pt>
                <c:pt idx="19">
                  <c:v>6.5756614690090408E-3</c:v>
                </c:pt>
                <c:pt idx="20">
                  <c:v>6.9217489147463587E-3</c:v>
                </c:pt>
                <c:pt idx="21">
                  <c:v>7.2678363604836765E-3</c:v>
                </c:pt>
                <c:pt idx="22">
                  <c:v>7.6139238062209944E-3</c:v>
                </c:pt>
                <c:pt idx="23">
                  <c:v>7.9600112519583131E-3</c:v>
                </c:pt>
                <c:pt idx="24">
                  <c:v>8.3060986976956318E-3</c:v>
                </c:pt>
                <c:pt idx="25">
                  <c:v>8.6521861434329505E-3</c:v>
                </c:pt>
                <c:pt idx="26">
                  <c:v>8.9982735891702692E-3</c:v>
                </c:pt>
                <c:pt idx="27">
                  <c:v>9.3443610349075879E-3</c:v>
                </c:pt>
                <c:pt idx="28">
                  <c:v>9.6904484806449066E-3</c:v>
                </c:pt>
                <c:pt idx="29">
                  <c:v>1.0036535926382225E-2</c:v>
                </c:pt>
                <c:pt idx="30">
                  <c:v>1.0382623372119544E-2</c:v>
                </c:pt>
                <c:pt idx="31">
                  <c:v>1.0728710817856863E-2</c:v>
                </c:pt>
                <c:pt idx="32">
                  <c:v>1.1074798263594181E-2</c:v>
                </c:pt>
                <c:pt idx="33">
                  <c:v>1.14208857093315E-2</c:v>
                </c:pt>
                <c:pt idx="34">
                  <c:v>1.1766973155068819E-2</c:v>
                </c:pt>
                <c:pt idx="35">
                  <c:v>1.2113060600806138E-2</c:v>
                </c:pt>
                <c:pt idx="36">
                  <c:v>1.2459148046543456E-2</c:v>
                </c:pt>
                <c:pt idx="37">
                  <c:v>1.2805235492280775E-2</c:v>
                </c:pt>
                <c:pt idx="38">
                  <c:v>1.3151322938018094E-2</c:v>
                </c:pt>
                <c:pt idx="39">
                  <c:v>1.3497410383755412E-2</c:v>
                </c:pt>
                <c:pt idx="40">
                  <c:v>1.3843497829492731E-2</c:v>
                </c:pt>
                <c:pt idx="41">
                  <c:v>1.418958527523005E-2</c:v>
                </c:pt>
                <c:pt idx="42">
                  <c:v>1.4535672720967369E-2</c:v>
                </c:pt>
                <c:pt idx="43">
                  <c:v>1.4881760166704687E-2</c:v>
                </c:pt>
                <c:pt idx="44">
                  <c:v>1.5227847612442006E-2</c:v>
                </c:pt>
                <c:pt idx="45">
                  <c:v>1.5573935058179325E-2</c:v>
                </c:pt>
                <c:pt idx="46">
                  <c:v>1.5920022503916643E-2</c:v>
                </c:pt>
                <c:pt idx="47">
                  <c:v>1.626610994965396E-2</c:v>
                </c:pt>
                <c:pt idx="48">
                  <c:v>1.6612197395391277E-2</c:v>
                </c:pt>
                <c:pt idx="49">
                  <c:v>1.6958284841128594E-2</c:v>
                </c:pt>
                <c:pt idx="50">
                  <c:v>1.7304372286865911E-2</c:v>
                </c:pt>
                <c:pt idx="51">
                  <c:v>1.7650459732603228E-2</c:v>
                </c:pt>
                <c:pt idx="52">
                  <c:v>1.7996547178340545E-2</c:v>
                </c:pt>
                <c:pt idx="53">
                  <c:v>1.8342634624077862E-2</c:v>
                </c:pt>
                <c:pt idx="54">
                  <c:v>1.8688722069815179E-2</c:v>
                </c:pt>
                <c:pt idx="55">
                  <c:v>1.9034809515552496E-2</c:v>
                </c:pt>
                <c:pt idx="56">
                  <c:v>1.9380896961289813E-2</c:v>
                </c:pt>
                <c:pt idx="57">
                  <c:v>1.972698440702713E-2</c:v>
                </c:pt>
                <c:pt idx="58">
                  <c:v>2.0073071852764447E-2</c:v>
                </c:pt>
                <c:pt idx="59">
                  <c:v>2.0419159298501764E-2</c:v>
                </c:pt>
                <c:pt idx="60">
                  <c:v>2.0765246744239081E-2</c:v>
                </c:pt>
                <c:pt idx="61">
                  <c:v>2.1111334189976398E-2</c:v>
                </c:pt>
                <c:pt idx="62">
                  <c:v>2.1457421635713715E-2</c:v>
                </c:pt>
                <c:pt idx="63">
                  <c:v>2.1803509081451032E-2</c:v>
                </c:pt>
                <c:pt idx="64">
                  <c:v>2.2149596527188349E-2</c:v>
                </c:pt>
                <c:pt idx="65">
                  <c:v>2.2495683972925666E-2</c:v>
                </c:pt>
                <c:pt idx="66">
                  <c:v>2.2841771418662983E-2</c:v>
                </c:pt>
                <c:pt idx="67">
                  <c:v>2.31878588644003E-2</c:v>
                </c:pt>
                <c:pt idx="68">
                  <c:v>2.3533946310137617E-2</c:v>
                </c:pt>
                <c:pt idx="69">
                  <c:v>2.3880033755874934E-2</c:v>
                </c:pt>
                <c:pt idx="70">
                  <c:v>2.4226121201612251E-2</c:v>
                </c:pt>
                <c:pt idx="71">
                  <c:v>2.4572208647349568E-2</c:v>
                </c:pt>
                <c:pt idx="72">
                  <c:v>2.4918296093086885E-2</c:v>
                </c:pt>
                <c:pt idx="73">
                  <c:v>2.5264383538824202E-2</c:v>
                </c:pt>
                <c:pt idx="74">
                  <c:v>2.5610470984561519E-2</c:v>
                </c:pt>
                <c:pt idx="75">
                  <c:v>2.5956558430298836E-2</c:v>
                </c:pt>
                <c:pt idx="76">
                  <c:v>2.6302645876036153E-2</c:v>
                </c:pt>
                <c:pt idx="77">
                  <c:v>2.664873332177347E-2</c:v>
                </c:pt>
                <c:pt idx="78">
                  <c:v>2.6994820767510787E-2</c:v>
                </c:pt>
                <c:pt idx="79">
                  <c:v>2.7340908213248104E-2</c:v>
                </c:pt>
                <c:pt idx="80">
                  <c:v>2.7686995658985421E-2</c:v>
                </c:pt>
                <c:pt idx="81">
                  <c:v>2.8033083104722738E-2</c:v>
                </c:pt>
                <c:pt idx="82">
                  <c:v>2.8379170550460055E-2</c:v>
                </c:pt>
                <c:pt idx="83">
                  <c:v>2.8725257996197372E-2</c:v>
                </c:pt>
                <c:pt idx="84">
                  <c:v>2.9071345441934689E-2</c:v>
                </c:pt>
                <c:pt idx="85">
                  <c:v>2.9417432887672006E-2</c:v>
                </c:pt>
                <c:pt idx="86">
                  <c:v>2.9763520333409323E-2</c:v>
                </c:pt>
                <c:pt idx="87">
                  <c:v>3.010960777914664E-2</c:v>
                </c:pt>
                <c:pt idx="88">
                  <c:v>3.0455695224883957E-2</c:v>
                </c:pt>
                <c:pt idx="89">
                  <c:v>3.0801782670621274E-2</c:v>
                </c:pt>
                <c:pt idx="90">
                  <c:v>3.1147870116358591E-2</c:v>
                </c:pt>
                <c:pt idx="91">
                  <c:v>3.1493957562095908E-2</c:v>
                </c:pt>
                <c:pt idx="92">
                  <c:v>3.1840045007833224E-2</c:v>
                </c:pt>
                <c:pt idx="93">
                  <c:v>3.2186132453570541E-2</c:v>
                </c:pt>
                <c:pt idx="94">
                  <c:v>3.2532219899307858E-2</c:v>
                </c:pt>
                <c:pt idx="95">
                  <c:v>3.2878307345045175E-2</c:v>
                </c:pt>
                <c:pt idx="96">
                  <c:v>3.3224394790782492E-2</c:v>
                </c:pt>
                <c:pt idx="97">
                  <c:v>3.3570482236519809E-2</c:v>
                </c:pt>
                <c:pt idx="98">
                  <c:v>3.3916569682257126E-2</c:v>
                </c:pt>
                <c:pt idx="99">
                  <c:v>3.4262657127994443E-2</c:v>
                </c:pt>
                <c:pt idx="100">
                  <c:v>3.460874457373176E-2</c:v>
                </c:pt>
                <c:pt idx="101">
                  <c:v>3.4954832019469077E-2</c:v>
                </c:pt>
                <c:pt idx="102">
                  <c:v>3.5300919465206394E-2</c:v>
                </c:pt>
                <c:pt idx="103">
                  <c:v>3.5647006910943711E-2</c:v>
                </c:pt>
                <c:pt idx="104">
                  <c:v>3.5993094356681028E-2</c:v>
                </c:pt>
                <c:pt idx="105">
                  <c:v>3.6339181802418345E-2</c:v>
                </c:pt>
                <c:pt idx="106">
                  <c:v>3.6685269248155662E-2</c:v>
                </c:pt>
                <c:pt idx="107">
                  <c:v>3.7031356693892979E-2</c:v>
                </c:pt>
                <c:pt idx="108">
                  <c:v>3.7377444139630296E-2</c:v>
                </c:pt>
                <c:pt idx="109">
                  <c:v>3.7723531585367613E-2</c:v>
                </c:pt>
                <c:pt idx="110">
                  <c:v>3.806961903110493E-2</c:v>
                </c:pt>
                <c:pt idx="111">
                  <c:v>3.8415706476842247E-2</c:v>
                </c:pt>
                <c:pt idx="112">
                  <c:v>3.8761793922579564E-2</c:v>
                </c:pt>
                <c:pt idx="113">
                  <c:v>3.9107881368316881E-2</c:v>
                </c:pt>
                <c:pt idx="114">
                  <c:v>3.9453968814054198E-2</c:v>
                </c:pt>
                <c:pt idx="115">
                  <c:v>3.9800056259791515E-2</c:v>
                </c:pt>
                <c:pt idx="116">
                  <c:v>4.0146143705528832E-2</c:v>
                </c:pt>
                <c:pt idx="117">
                  <c:v>4.0492231151266149E-2</c:v>
                </c:pt>
                <c:pt idx="118">
                  <c:v>4.0838318597003466E-2</c:v>
                </c:pt>
                <c:pt idx="119">
                  <c:v>4.1184406042740783E-2</c:v>
                </c:pt>
                <c:pt idx="120">
                  <c:v>4.15304934884781E-2</c:v>
                </c:pt>
                <c:pt idx="121">
                  <c:v>4.1876580934215417E-2</c:v>
                </c:pt>
                <c:pt idx="122">
                  <c:v>4.2222668379952734E-2</c:v>
                </c:pt>
                <c:pt idx="123">
                  <c:v>4.2568755825690051E-2</c:v>
                </c:pt>
                <c:pt idx="124">
                  <c:v>4.2914843271427368E-2</c:v>
                </c:pt>
                <c:pt idx="125">
                  <c:v>4.3260930717164685E-2</c:v>
                </c:pt>
                <c:pt idx="126">
                  <c:v>4.3607018162902002E-2</c:v>
                </c:pt>
                <c:pt idx="127">
                  <c:v>4.3953105608639319E-2</c:v>
                </c:pt>
                <c:pt idx="128">
                  <c:v>4.4299193054376636E-2</c:v>
                </c:pt>
                <c:pt idx="129">
                  <c:v>4.4645280500113953E-2</c:v>
                </c:pt>
                <c:pt idx="130">
                  <c:v>4.499136794585127E-2</c:v>
                </c:pt>
                <c:pt idx="131">
                  <c:v>4.5337455391588587E-2</c:v>
                </c:pt>
                <c:pt idx="132">
                  <c:v>4.5683542837325904E-2</c:v>
                </c:pt>
                <c:pt idx="133">
                  <c:v>4.6029630283063221E-2</c:v>
                </c:pt>
                <c:pt idx="134">
                  <c:v>4.6375717728800538E-2</c:v>
                </c:pt>
                <c:pt idx="135">
                  <c:v>4.6721805174537855E-2</c:v>
                </c:pt>
                <c:pt idx="136">
                  <c:v>4.7067892620275172E-2</c:v>
                </c:pt>
                <c:pt idx="137">
                  <c:v>4.7413980066012489E-2</c:v>
                </c:pt>
                <c:pt idx="138">
                  <c:v>4.7760067511749806E-2</c:v>
                </c:pt>
                <c:pt idx="139">
                  <c:v>4.8106154957487123E-2</c:v>
                </c:pt>
                <c:pt idx="140">
                  <c:v>4.8452242403224439E-2</c:v>
                </c:pt>
                <c:pt idx="141">
                  <c:v>4.8798329848961756E-2</c:v>
                </c:pt>
                <c:pt idx="142">
                  <c:v>4.9144417294699073E-2</c:v>
                </c:pt>
                <c:pt idx="143">
                  <c:v>4.949050474043639E-2</c:v>
                </c:pt>
                <c:pt idx="144">
                  <c:v>4.9836592186173707E-2</c:v>
                </c:pt>
                <c:pt idx="145">
                  <c:v>5.0182679631911024E-2</c:v>
                </c:pt>
                <c:pt idx="146">
                  <c:v>5.0528767077648341E-2</c:v>
                </c:pt>
                <c:pt idx="147">
                  <c:v>5.0874854523385658E-2</c:v>
                </c:pt>
                <c:pt idx="148">
                  <c:v>5.1220941969122975E-2</c:v>
                </c:pt>
                <c:pt idx="149">
                  <c:v>5.1567029414860292E-2</c:v>
                </c:pt>
                <c:pt idx="150">
                  <c:v>5.1913116860597609E-2</c:v>
                </c:pt>
                <c:pt idx="151">
                  <c:v>5.2259204306334926E-2</c:v>
                </c:pt>
                <c:pt idx="152">
                  <c:v>5.2605291752072243E-2</c:v>
                </c:pt>
                <c:pt idx="153">
                  <c:v>5.295137919780956E-2</c:v>
                </c:pt>
                <c:pt idx="154">
                  <c:v>5.3297466643546877E-2</c:v>
                </c:pt>
                <c:pt idx="155">
                  <c:v>5.3643554089284194E-2</c:v>
                </c:pt>
                <c:pt idx="156">
                  <c:v>5.3989641535021511E-2</c:v>
                </c:pt>
                <c:pt idx="157">
                  <c:v>5.4335728980758828E-2</c:v>
                </c:pt>
                <c:pt idx="158">
                  <c:v>5.4681816426496145E-2</c:v>
                </c:pt>
                <c:pt idx="159">
                  <c:v>5.5027903872233462E-2</c:v>
                </c:pt>
                <c:pt idx="160">
                  <c:v>5.5373991317970779E-2</c:v>
                </c:pt>
                <c:pt idx="161">
                  <c:v>5.5720078763708096E-2</c:v>
                </c:pt>
                <c:pt idx="162">
                  <c:v>5.6066166209445413E-2</c:v>
                </c:pt>
                <c:pt idx="163">
                  <c:v>5.641225365518273E-2</c:v>
                </c:pt>
                <c:pt idx="164">
                  <c:v>5.6758341100920047E-2</c:v>
                </c:pt>
                <c:pt idx="165">
                  <c:v>5.7104428546657364E-2</c:v>
                </c:pt>
                <c:pt idx="166">
                  <c:v>5.7450515992394681E-2</c:v>
                </c:pt>
                <c:pt idx="167">
                  <c:v>5.7796603438131998E-2</c:v>
                </c:pt>
                <c:pt idx="168">
                  <c:v>5.8142690883869315E-2</c:v>
                </c:pt>
                <c:pt idx="169">
                  <c:v>5.8488778329606632E-2</c:v>
                </c:pt>
                <c:pt idx="170">
                  <c:v>5.8834865775343949E-2</c:v>
                </c:pt>
                <c:pt idx="171">
                  <c:v>5.9180953221081266E-2</c:v>
                </c:pt>
                <c:pt idx="172">
                  <c:v>5.9527040666818583E-2</c:v>
                </c:pt>
                <c:pt idx="173">
                  <c:v>5.98731281125559E-2</c:v>
                </c:pt>
                <c:pt idx="174">
                  <c:v>6.0219215558293217E-2</c:v>
                </c:pt>
                <c:pt idx="175">
                  <c:v>6.0565303004030534E-2</c:v>
                </c:pt>
                <c:pt idx="176">
                  <c:v>6.0911390449767851E-2</c:v>
                </c:pt>
                <c:pt idx="177">
                  <c:v>6.1257477895505168E-2</c:v>
                </c:pt>
                <c:pt idx="178">
                  <c:v>6.1603565341242485E-2</c:v>
                </c:pt>
                <c:pt idx="179">
                  <c:v>6.1949652786979802E-2</c:v>
                </c:pt>
                <c:pt idx="180">
                  <c:v>6.2295740232717119E-2</c:v>
                </c:pt>
                <c:pt idx="181">
                  <c:v>6.2641827678454443E-2</c:v>
                </c:pt>
                <c:pt idx="182">
                  <c:v>6.298791512419176E-2</c:v>
                </c:pt>
                <c:pt idx="183">
                  <c:v>6.3334002569929077E-2</c:v>
                </c:pt>
                <c:pt idx="184">
                  <c:v>6.3680090015666393E-2</c:v>
                </c:pt>
                <c:pt idx="185">
                  <c:v>6.402617746140371E-2</c:v>
                </c:pt>
                <c:pt idx="186">
                  <c:v>6.4372264907141027E-2</c:v>
                </c:pt>
                <c:pt idx="187">
                  <c:v>6.4718352352878344E-2</c:v>
                </c:pt>
                <c:pt idx="188">
                  <c:v>6.5064439798615661E-2</c:v>
                </c:pt>
                <c:pt idx="189">
                  <c:v>6.5410527244352978E-2</c:v>
                </c:pt>
                <c:pt idx="190">
                  <c:v>6.5756614690090295E-2</c:v>
                </c:pt>
                <c:pt idx="191">
                  <c:v>6.6102702135827612E-2</c:v>
                </c:pt>
                <c:pt idx="192">
                  <c:v>6.6448789581564929E-2</c:v>
                </c:pt>
                <c:pt idx="193">
                  <c:v>6.6794877027302246E-2</c:v>
                </c:pt>
                <c:pt idx="194">
                  <c:v>6.7140964473039563E-2</c:v>
                </c:pt>
                <c:pt idx="195">
                  <c:v>6.748705191877688E-2</c:v>
                </c:pt>
                <c:pt idx="196">
                  <c:v>6.7833139364514197E-2</c:v>
                </c:pt>
                <c:pt idx="197">
                  <c:v>6.8179226810251514E-2</c:v>
                </c:pt>
                <c:pt idx="198">
                  <c:v>6.8525314255988831E-2</c:v>
                </c:pt>
                <c:pt idx="199">
                  <c:v>6.8871401701726148E-2</c:v>
                </c:pt>
                <c:pt idx="200">
                  <c:v>6.9217489147463465E-2</c:v>
                </c:pt>
              </c:numCache>
            </c:numRef>
          </c:cat>
          <c:val>
            <c:numRef>
              <c:f>'RLC Transient'!$C$22:$C$222</c:f>
              <c:numCache>
                <c:formatCode>0.0000</c:formatCode>
                <c:ptCount val="201"/>
                <c:pt idx="0">
                  <c:v>10</c:v>
                </c:pt>
                <c:pt idx="1">
                  <c:v>8.5334576172839842</c:v>
                </c:pt>
                <c:pt idx="2">
                  <c:v>7.1794457744969513</c:v>
                </c:pt>
                <c:pt idx="3">
                  <c:v>5.937082859089255</c:v>
                </c:pt>
                <c:pt idx="4">
                  <c:v>4.8043738119348438</c:v>
                </c:pt>
                <c:pt idx="5">
                  <c:v>3.7783895240822023</c:v>
                </c:pt>
                <c:pt idx="6">
                  <c:v>2.8554312503973964</c:v>
                </c:pt>
                <c:pt idx="7">
                  <c:v>2.0311803334405631</c:v>
                </c:pt>
                <c:pt idx="8">
                  <c:v>1.3008336523644646</c:v>
                </c:pt>
                <c:pt idx="9">
                  <c:v>0.6592253113165949</c:v>
                </c:pt>
                <c:pt idx="10">
                  <c:v>0.10093516173346284</c:v>
                </c:pt>
                <c:pt idx="11">
                  <c:v>-0.37961518505515723</c:v>
                </c:pt>
                <c:pt idx="12">
                  <c:v>-0.78807815250510593</c:v>
                </c:pt>
                <c:pt idx="13">
                  <c:v>-1.130107066707982</c:v>
                </c:pt>
                <c:pt idx="14">
                  <c:v>-1.4112933442143314</c:v>
                </c:pt>
                <c:pt idx="15">
                  <c:v>-1.6371132385924652</c:v>
                </c:pt>
                <c:pt idx="16">
                  <c:v>-1.8128833860228077</c:v>
                </c:pt>
                <c:pt idx="17">
                  <c:v>-1.9437243999712672</c:v>
                </c:pt>
                <c:pt idx="18">
                  <c:v>-2.0345317816681607</c:v>
                </c:pt>
                <c:pt idx="19">
                  <c:v>-2.0899534355763043</c:v>
                </c:pt>
                <c:pt idx="20">
                  <c:v>-2.1143731061985385</c:v>
                </c:pt>
                <c:pt idx="21">
                  <c:v>-2.1118990834845954</c:v>
                </c:pt>
                <c:pt idx="22">
                  <c:v>-2.0863575578786291</c:v>
                </c:pt>
                <c:pt idx="23">
                  <c:v>-2.0412900419214211</c:v>
                </c:pt>
                <c:pt idx="24">
                  <c:v>-1.9799543125923416</c:v>
                </c:pt>
                <c:pt idx="25">
                  <c:v>-1.9053283666346239</c:v>
                </c:pt>
                <c:pt idx="26">
                  <c:v>-1.8201169194203377</c:v>
                </c:pt>
                <c:pt idx="27">
                  <c:v>-1.7267600160176375</c:v>
                </c:pt>
                <c:pt idx="28">
                  <c:v>-1.6274433606294725</c:v>
                </c:pt>
                <c:pt idx="29">
                  <c:v>-1.5241100071483107</c:v>
                </c:pt>
                <c:pt idx="30">
                  <c:v>-1.418473088941882</c:v>
                </c:pt>
                <c:pt idx="31">
                  <c:v>-1.3120292999284917</c:v>
                </c:pt>
                <c:pt idx="32">
                  <c:v>-1.2060728713419149</c:v>
                </c:pt>
                <c:pt idx="33">
                  <c:v>-1.1017098191934753</c:v>
                </c:pt>
                <c:pt idx="34">
                  <c:v>-0.99987226621768244</c:v>
                </c:pt>
                <c:pt idx="35">
                  <c:v>-0.90133266897736419</c:v>
                </c:pt>
                <c:pt idx="36">
                  <c:v>-0.80671780577286434</c:v>
                </c:pt>
                <c:pt idx="37">
                  <c:v>-0.71652240404261924</c:v>
                </c:pt>
                <c:pt idx="38">
                  <c:v>-0.63112230707514883</c:v>
                </c:pt>
                <c:pt idx="39">
                  <c:v>-0.55078709911128065</c:v>
                </c:pt>
                <c:pt idx="40">
                  <c:v>-0.47569212535094607</c:v>
                </c:pt>
                <c:pt idx="41">
                  <c:v>-0.40592985905580647</c:v>
                </c:pt>
                <c:pt idx="42">
                  <c:v>-0.34152058193123125</c:v>
                </c:pt>
                <c:pt idx="43">
                  <c:v>-0.28242235636248303</c:v>
                </c:pt>
                <c:pt idx="44">
                  <c:v>-0.22854027895797024</c:v>
                </c:pt>
                <c:pt idx="45">
                  <c:v>-0.17973501431144179</c:v>
                </c:pt>
                <c:pt idx="46">
                  <c:v>-0.13583061602950153</c:v>
                </c:pt>
                <c:pt idx="47">
                  <c:v>-9.6621648978539199E-2</c:v>
                </c:pt>
                <c:pt idx="48">
                  <c:v>-6.1879632482128244E-2</c:v>
                </c:pt>
                <c:pt idx="49">
                  <c:v>-3.1358828942533279E-2</c:v>
                </c:pt>
                <c:pt idx="50">
                  <c:v>-4.8014061607624114E-3</c:v>
                </c:pt>
                <c:pt idx="51">
                  <c:v>1.80579954194382E-2</c:v>
                </c:pt>
                <c:pt idx="52">
                  <c:v>3.7488257130780411E-2</c:v>
                </c:pt>
                <c:pt idx="53">
                  <c:v>5.37583032436455E-2</c:v>
                </c:pt>
                <c:pt idx="54">
                  <c:v>6.7134113040294707E-2</c:v>
                </c:pt>
                <c:pt idx="55">
                  <c:v>7.7876187590623758E-2</c:v>
                </c:pt>
                <c:pt idx="56">
                  <c:v>8.6237435091060632E-2</c:v>
                </c:pt>
                <c:pt idx="57">
                  <c:v>9.246143909188298E-2</c:v>
                </c:pt>
                <c:pt idx="58">
                  <c:v>9.6781074731577377E-2</c:v>
                </c:pt>
                <c:pt idx="59">
                  <c:v>9.9417439165380372E-2</c:v>
                </c:pt>
                <c:pt idx="60">
                  <c:v>0.10057906366724723</c:v>
                </c:pt>
                <c:pt idx="61">
                  <c:v>0.10046137635495</c:v>
                </c:pt>
                <c:pt idx="62">
                  <c:v>9.9246386094929306E-2</c:v>
                </c:pt>
                <c:pt idx="63">
                  <c:v>9.7102559849933101E-2</c:v>
                </c:pt>
                <c:pt idx="64">
                  <c:v>9.4184867505482828E-2</c:v>
                </c:pt>
                <c:pt idx="65">
                  <c:v>9.0634970021588046E-2</c:v>
                </c:pt>
                <c:pt idx="66">
                  <c:v>8.6581528578628664E-2</c:v>
                </c:pt>
                <c:pt idx="67">
                  <c:v>8.2140614199046169E-2</c:v>
                </c:pt>
                <c:pt idx="68">
                  <c:v>7.7416199110611927E-2</c:v>
                </c:pt>
                <c:pt idx="69">
                  <c:v>7.2500712856902183E-2</c:v>
                </c:pt>
                <c:pt idx="70">
                  <c:v>6.7475647843188824E-2</c:v>
                </c:pt>
                <c:pt idx="71">
                  <c:v>6.2412200620570957E-2</c:v>
                </c:pt>
                <c:pt idx="72">
                  <c:v>5.7371936749676777E-2</c:v>
                </c:pt>
                <c:pt idx="73">
                  <c:v>5.2407468541215252E-2</c:v>
                </c:pt>
                <c:pt idx="74">
                  <c:v>4.7563136339656253E-2</c:v>
                </c:pt>
                <c:pt idx="75">
                  <c:v>4.2875685295408417E-2</c:v>
                </c:pt>
                <c:pt idx="76">
                  <c:v>3.8374930758655168E-2</c:v>
                </c:pt>
                <c:pt idx="77">
                  <c:v>3.408440652406064E-2</c:v>
                </c:pt>
                <c:pt idx="78">
                  <c:v>3.0021991160896988E-2</c:v>
                </c:pt>
                <c:pt idx="79">
                  <c:v>2.6200508579213633E-2</c:v>
                </c:pt>
                <c:pt idx="80">
                  <c:v>2.2628299812089026E-2</c:v>
                </c:pt>
                <c:pt idx="81">
                  <c:v>1.9309763739768115E-2</c:v>
                </c:pt>
                <c:pt idx="82">
                  <c:v>1.6245865146997218E-2</c:v>
                </c:pt>
                <c:pt idx="83">
                  <c:v>1.3434609094471028E-2</c:v>
                </c:pt>
                <c:pt idx="84">
                  <c:v>1.0871481102583402E-2</c:v>
                </c:pt>
                <c:pt idx="85">
                  <c:v>8.5498530957792696E-3</c:v>
                </c:pt>
                <c:pt idx="86">
                  <c:v>6.4613554426795616E-3</c:v>
                </c:pt>
                <c:pt idx="87">
                  <c:v>4.5962157557521977E-3</c:v>
                </c:pt>
                <c:pt idx="88">
                  <c:v>2.9435653891365376E-3</c:v>
                </c:pt>
                <c:pt idx="89">
                  <c:v>1.4917147988189328E-3</c:v>
                </c:pt>
                <c:pt idx="90">
                  <c:v>2.2839911012795255E-4</c:v>
                </c:pt>
                <c:pt idx="91">
                  <c:v>-8.5900462206467409E-4</c:v>
                </c:pt>
                <c:pt idx="92">
                  <c:v>-1.7832868710243588E-3</c:v>
                </c:pt>
                <c:pt idx="93">
                  <c:v>-2.5572401525231214E-3</c:v>
                </c:pt>
                <c:pt idx="94">
                  <c:v>-3.1935168915691037E-3</c:v>
                </c:pt>
                <c:pt idx="95">
                  <c:v>-3.7045089189202685E-3</c:v>
                </c:pt>
                <c:pt idx="96">
                  <c:v>-4.1022468783271648E-3</c:v>
                </c:pt>
                <c:pt idx="97">
                  <c:v>-4.398317847462252E-3</c:v>
                </c:pt>
                <c:pt idx="98">
                  <c:v>-4.6037995132799381E-3</c:v>
                </c:pt>
                <c:pt idx="99">
                  <c:v>-4.7292092933535201E-3</c:v>
                </c:pt>
                <c:pt idx="100">
                  <c:v>-4.7844668561669579E-3</c:v>
                </c:pt>
                <c:pt idx="101">
                  <c:v>-4.7788685633953776E-3</c:v>
                </c:pt>
                <c:pt idx="102">
                  <c:v>-4.7210724334885157E-3</c:v>
                </c:pt>
                <c:pt idx="103">
                  <c:v>-4.6190923072035872E-3</c:v>
                </c:pt>
                <c:pt idx="104">
                  <c:v>-4.4802999799582466E-3</c:v>
                </c:pt>
                <c:pt idx="105">
                  <c:v>-4.3114341520702482E-3</c:v>
                </c:pt>
                <c:pt idx="106">
                  <c:v>-4.1186151345691258E-3</c:v>
                </c:pt>
                <c:pt idx="107">
                  <c:v>-3.9073643345979292E-3</c:v>
                </c:pt>
                <c:pt idx="108">
                  <c:v>-3.6826276291535009E-3</c:v>
                </c:pt>
                <c:pt idx="109">
                  <c:v>-3.4488018188358893E-3</c:v>
                </c:pt>
                <c:pt idx="110">
                  <c:v>-3.2097634331957892E-3</c:v>
                </c:pt>
                <c:pt idx="111">
                  <c:v>-2.9688992361034394E-3</c:v>
                </c:pt>
                <c:pt idx="112">
                  <c:v>-2.7291378527962706E-3</c:v>
                </c:pt>
                <c:pt idx="113">
                  <c:v>-2.4929820094623523E-3</c:v>
                </c:pt>
                <c:pt idx="114">
                  <c:v>-2.2625409413770114E-3</c:v>
                </c:pt>
                <c:pt idx="115">
                  <c:v>-2.0395625864040312E-3</c:v>
                </c:pt>
                <c:pt idx="116">
                  <c:v>-1.8254652372764468E-3</c:v>
                </c:pt>
                <c:pt idx="117">
                  <c:v>-1.6213683780748056E-3</c:v>
                </c:pt>
                <c:pt idx="118">
                  <c:v>-1.4281224782610735E-3</c:v>
                </c:pt>
                <c:pt idx="119">
                  <c:v>-1.2463375611311278E-3</c:v>
                </c:pt>
                <c:pt idx="120">
                  <c:v>-1.0764104030691612E-3</c:v>
                </c:pt>
                <c:pt idx="121">
                  <c:v>-9.1855025534037793E-4</c:v>
                </c:pt>
                <c:pt idx="122">
                  <c:v>-7.7280301199245116E-4</c:v>
                </c:pt>
                <c:pt idx="123">
                  <c:v>-6.3907377534100362E-4</c:v>
                </c:pt>
                <c:pt idx="124">
                  <c:v>-5.1714779514000497E-4</c:v>
                </c:pt>
                <c:pt idx="125">
                  <c:v>-4.0670977905499228E-4</c:v>
                </c:pt>
                <c:pt idx="126">
                  <c:v>-3.0736159031796717E-4</c:v>
                </c:pt>
                <c:pt idx="127">
                  <c:v>-2.1863836414226512E-4</c:v>
                </c:pt>
                <c:pt idx="128">
                  <c:v>-1.4002308760652227E-4</c:v>
                </c:pt>
                <c:pt idx="129">
                  <c:v>-7.0959698305728125E-5</c:v>
                </c:pt>
                <c:pt idx="130">
                  <c:v>-1.0864765814133648E-5</c:v>
                </c:pt>
                <c:pt idx="131">
                  <c:v>4.0862173436906346E-5</c:v>
                </c:pt>
                <c:pt idx="132">
                  <c:v>8.482955217914423E-5</c:v>
                </c:pt>
                <c:pt idx="133">
                  <c:v>1.2164590031993328E-4</c:v>
                </c:pt>
                <c:pt idx="134">
                  <c:v>1.5191308374973289E-4</c:v>
                </c:pt>
                <c:pt idx="135">
                  <c:v>1.7622057210253672E-4</c:v>
                </c:pt>
                <c:pt idx="136">
                  <c:v>1.951406536253586E-4</c:v>
                </c:pt>
                <c:pt idx="137">
                  <c:v>2.0922451648175411E-4</c:v>
                </c:pt>
                <c:pt idx="138">
                  <c:v>2.1899911751610546E-4</c:v>
                </c:pt>
                <c:pt idx="139">
                  <c:v>2.2496476199940219E-4</c:v>
                </c:pt>
                <c:pt idx="140">
                  <c:v>2.2759332074784311E-4</c:v>
                </c:pt>
                <c:pt idx="141">
                  <c:v>2.2732701437000458E-4</c:v>
                </c:pt>
                <c:pt idx="142">
                  <c:v>2.2457769798123195E-4</c:v>
                </c:pt>
                <c:pt idx="143">
                  <c:v>2.1972658367985787E-4</c:v>
                </c:pt>
                <c:pt idx="144">
                  <c:v>2.1312434196651964E-4</c:v>
                </c:pt>
                <c:pt idx="145">
                  <c:v>2.0509152751202464E-4</c:v>
                </c:pt>
                <c:pt idx="146">
                  <c:v>1.9591927868667369E-4</c:v>
                </c:pt>
                <c:pt idx="147">
                  <c:v>1.8587024448457612E-4</c:v>
                </c:pt>
                <c:pt idx="148">
                  <c:v>1.7517969637736996E-4</c:v>
                </c:pt>
                <c:pt idx="149">
                  <c:v>1.6405678671205237E-4</c:v>
                </c:pt>
                <c:pt idx="150">
                  <c:v>1.5268591894113115E-4</c:v>
                </c:pt>
                <c:pt idx="151">
                  <c:v>1.4122819875694859E-4</c:v>
                </c:pt>
                <c:pt idx="152">
                  <c:v>1.2982293855756666E-4</c:v>
                </c:pt>
                <c:pt idx="153">
                  <c:v>1.1858919105378618E-4</c:v>
                </c:pt>
                <c:pt idx="154">
                  <c:v>1.0762729091062795E-4</c:v>
                </c:pt>
                <c:pt idx="155">
                  <c:v>9.7020386151669413E-5</c:v>
                </c:pt>
                <c:pt idx="156">
                  <c:v>8.6835943848839747E-5</c:v>
                </c:pt>
                <c:pt idx="157">
                  <c:v>7.7127216973948975E-5</c:v>
                </c:pt>
                <c:pt idx="158">
                  <c:v>6.7934661693414E-5</c:v>
                </c:pt>
                <c:pt idx="159">
                  <c:v>5.9287296334531447E-5</c:v>
                </c:pt>
                <c:pt idx="160">
                  <c:v>5.1203995237614208E-5</c:v>
                </c:pt>
                <c:pt idx="161">
                  <c:v>4.3694712319464202E-5</c:v>
                </c:pt>
                <c:pt idx="162">
                  <c:v>3.6761630724413408E-5</c:v>
                </c:pt>
                <c:pt idx="163">
                  <c:v>3.040023624656385E-5</c:v>
                </c:pt>
                <c:pt idx="164">
                  <c:v>2.4600313377476368E-5</c:v>
                </c:pt>
                <c:pt idx="165">
                  <c:v>1.9346863918912049E-5</c:v>
                </c:pt>
                <c:pt idx="166">
                  <c:v>1.4620948814325629E-5</c:v>
                </c:pt>
                <c:pt idx="167">
                  <c:v>1.0400454812042881E-5</c:v>
                </c:pt>
                <c:pt idx="168">
                  <c:v>6.6607880135904907E-6</c:v>
                </c:pt>
                <c:pt idx="169">
                  <c:v>3.3754969699373305E-6</c:v>
                </c:pt>
                <c:pt idx="170">
                  <c:v>5.1682835433553009E-7</c:v>
                </c:pt>
                <c:pt idx="171">
                  <c:v>-1.9437814131606501E-6</c:v>
                </c:pt>
                <c:pt idx="172">
                  <c:v>-4.0352749959282619E-6</c:v>
                </c:pt>
                <c:pt idx="173">
                  <c:v>-5.7865996865302805E-6</c:v>
                </c:pt>
                <c:pt idx="174">
                  <c:v>-7.2263857671117648E-6</c:v>
                </c:pt>
                <c:pt idx="175">
                  <c:v>-8.3826738457304373E-6</c:v>
                </c:pt>
                <c:pt idx="176">
                  <c:v>-9.2826872268858551E-6</c:v>
                </c:pt>
                <c:pt idx="177">
                  <c:v>-9.9526454917509E-6</c:v>
                </c:pt>
                <c:pt idx="178">
                  <c:v>-1.0417615564861649E-5</c:v>
                </c:pt>
                <c:pt idx="179">
                  <c:v>-1.0701396575996114E-5</c:v>
                </c:pt>
                <c:pt idx="180">
                  <c:v>-1.082643504624059E-5</c:v>
                </c:pt>
                <c:pt idx="181">
                  <c:v>-1.0813767062245461E-5</c:v>
                </c:pt>
                <c:pt idx="182">
                  <c:v>-1.0682984246557226E-5</c:v>
                </c:pt>
                <c:pt idx="183">
                  <c:v>-1.0452220557510827E-5</c:v>
                </c:pt>
                <c:pt idx="184">
                  <c:v>-1.0138157119143898E-5</c:v>
                </c:pt>
                <c:pt idx="185">
                  <c:v>-9.7560424610065866E-6</c:v>
                </c:pt>
                <c:pt idx="186">
                  <c:v>-9.3197258070887301E-6</c:v>
                </c:pt>
                <c:pt idx="187">
                  <c:v>-8.8417011632202502E-6</c:v>
                </c:pt>
                <c:pt idx="188">
                  <c:v>-8.3331602080960465E-6</c:v>
                </c:pt>
                <c:pt idx="189">
                  <c:v>-7.8040521547251274E-6</c:v>
                </c:pt>
                <c:pt idx="190">
                  <c:v>-7.2631489285157613E-6</c:v>
                </c:pt>
                <c:pt idx="191">
                  <c:v>-6.7181142018313267E-6</c:v>
                </c:pt>
                <c:pt idx="192">
                  <c:v>-6.1755749563019435E-6</c:v>
                </c:pt>
                <c:pt idx="193">
                  <c:v>-5.6411944342471543E-6</c:v>
                </c:pt>
                <c:pt idx="194">
                  <c:v>-5.1197454755680383E-6</c:v>
                </c:pt>
                <c:pt idx="195">
                  <c:v>-4.6151833696939093E-6</c:v>
                </c:pt>
                <c:pt idx="196">
                  <c:v>-4.1307174676319391E-6</c:v>
                </c:pt>
                <c:pt idx="197">
                  <c:v>-3.6688809768037345E-6</c:v>
                </c:pt>
                <c:pt idx="198">
                  <c:v>-3.2315983613528942E-6</c:v>
                </c:pt>
                <c:pt idx="199">
                  <c:v>-2.8202499997576069E-6</c:v>
                </c:pt>
                <c:pt idx="200">
                  <c:v>-2.4357337320424222E-6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99C-4EB9-AA98-992E28CC9579}"/>
            </c:ext>
          </c:extLst>
        </c:ser>
        <c:ser>
          <c:idx val="2"/>
          <c:order val="2"/>
          <c:tx>
            <c:strRef>
              <c:f>'RLC Transient'!$D$21</c:f>
              <c:strCache>
                <c:ptCount val="1"/>
                <c:pt idx="0">
                  <c:v>V_C - Voltage across Capacitor (V)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'RLC Transient'!$A$22:$A$222</c:f>
              <c:numCache>
                <c:formatCode>0.000000</c:formatCode>
                <c:ptCount val="201"/>
                <c:pt idx="0">
                  <c:v>0</c:v>
                </c:pt>
                <c:pt idx="1">
                  <c:v>3.4608744573731806E-4</c:v>
                </c:pt>
                <c:pt idx="2">
                  <c:v>6.9217489147463613E-4</c:v>
                </c:pt>
                <c:pt idx="3">
                  <c:v>1.0382623372119542E-3</c:v>
                </c:pt>
                <c:pt idx="4">
                  <c:v>1.3843497829492723E-3</c:v>
                </c:pt>
                <c:pt idx="5">
                  <c:v>1.7304372286865903E-3</c:v>
                </c:pt>
                <c:pt idx="6">
                  <c:v>2.0765246744239084E-3</c:v>
                </c:pt>
                <c:pt idx="7">
                  <c:v>2.4226121201612267E-3</c:v>
                </c:pt>
                <c:pt idx="8">
                  <c:v>2.7686995658985445E-3</c:v>
                </c:pt>
                <c:pt idx="9">
                  <c:v>3.1147870116358624E-3</c:v>
                </c:pt>
                <c:pt idx="10">
                  <c:v>3.4608744573731802E-3</c:v>
                </c:pt>
                <c:pt idx="11">
                  <c:v>3.806961903110498E-3</c:v>
                </c:pt>
                <c:pt idx="12">
                  <c:v>4.1530493488478159E-3</c:v>
                </c:pt>
                <c:pt idx="13">
                  <c:v>4.4991367945851337E-3</c:v>
                </c:pt>
                <c:pt idx="14">
                  <c:v>4.8452242403224516E-3</c:v>
                </c:pt>
                <c:pt idx="15">
                  <c:v>5.1913116860597694E-3</c:v>
                </c:pt>
                <c:pt idx="16">
                  <c:v>5.5373991317970873E-3</c:v>
                </c:pt>
                <c:pt idx="17">
                  <c:v>5.8834865775344051E-3</c:v>
                </c:pt>
                <c:pt idx="18">
                  <c:v>6.229574023271723E-3</c:v>
                </c:pt>
                <c:pt idx="19">
                  <c:v>6.5756614690090408E-3</c:v>
                </c:pt>
                <c:pt idx="20">
                  <c:v>6.9217489147463587E-3</c:v>
                </c:pt>
                <c:pt idx="21">
                  <c:v>7.2678363604836765E-3</c:v>
                </c:pt>
                <c:pt idx="22">
                  <c:v>7.6139238062209944E-3</c:v>
                </c:pt>
                <c:pt idx="23">
                  <c:v>7.9600112519583131E-3</c:v>
                </c:pt>
                <c:pt idx="24">
                  <c:v>8.3060986976956318E-3</c:v>
                </c:pt>
                <c:pt idx="25">
                  <c:v>8.6521861434329505E-3</c:v>
                </c:pt>
                <c:pt idx="26">
                  <c:v>8.9982735891702692E-3</c:v>
                </c:pt>
                <c:pt idx="27">
                  <c:v>9.3443610349075879E-3</c:v>
                </c:pt>
                <c:pt idx="28">
                  <c:v>9.6904484806449066E-3</c:v>
                </c:pt>
                <c:pt idx="29">
                  <c:v>1.0036535926382225E-2</c:v>
                </c:pt>
                <c:pt idx="30">
                  <c:v>1.0382623372119544E-2</c:v>
                </c:pt>
                <c:pt idx="31">
                  <c:v>1.0728710817856863E-2</c:v>
                </c:pt>
                <c:pt idx="32">
                  <c:v>1.1074798263594181E-2</c:v>
                </c:pt>
                <c:pt idx="33">
                  <c:v>1.14208857093315E-2</c:v>
                </c:pt>
                <c:pt idx="34">
                  <c:v>1.1766973155068819E-2</c:v>
                </c:pt>
                <c:pt idx="35">
                  <c:v>1.2113060600806138E-2</c:v>
                </c:pt>
                <c:pt idx="36">
                  <c:v>1.2459148046543456E-2</c:v>
                </c:pt>
                <c:pt idx="37">
                  <c:v>1.2805235492280775E-2</c:v>
                </c:pt>
                <c:pt idx="38">
                  <c:v>1.3151322938018094E-2</c:v>
                </c:pt>
                <c:pt idx="39">
                  <c:v>1.3497410383755412E-2</c:v>
                </c:pt>
                <c:pt idx="40">
                  <c:v>1.3843497829492731E-2</c:v>
                </c:pt>
                <c:pt idx="41">
                  <c:v>1.418958527523005E-2</c:v>
                </c:pt>
                <c:pt idx="42">
                  <c:v>1.4535672720967369E-2</c:v>
                </c:pt>
                <c:pt idx="43">
                  <c:v>1.4881760166704687E-2</c:v>
                </c:pt>
                <c:pt idx="44">
                  <c:v>1.5227847612442006E-2</c:v>
                </c:pt>
                <c:pt idx="45">
                  <c:v>1.5573935058179325E-2</c:v>
                </c:pt>
                <c:pt idx="46">
                  <c:v>1.5920022503916643E-2</c:v>
                </c:pt>
                <c:pt idx="47">
                  <c:v>1.626610994965396E-2</c:v>
                </c:pt>
                <c:pt idx="48">
                  <c:v>1.6612197395391277E-2</c:v>
                </c:pt>
                <c:pt idx="49">
                  <c:v>1.6958284841128594E-2</c:v>
                </c:pt>
                <c:pt idx="50">
                  <c:v>1.7304372286865911E-2</c:v>
                </c:pt>
                <c:pt idx="51">
                  <c:v>1.7650459732603228E-2</c:v>
                </c:pt>
                <c:pt idx="52">
                  <c:v>1.7996547178340545E-2</c:v>
                </c:pt>
                <c:pt idx="53">
                  <c:v>1.8342634624077862E-2</c:v>
                </c:pt>
                <c:pt idx="54">
                  <c:v>1.8688722069815179E-2</c:v>
                </c:pt>
                <c:pt idx="55">
                  <c:v>1.9034809515552496E-2</c:v>
                </c:pt>
                <c:pt idx="56">
                  <c:v>1.9380896961289813E-2</c:v>
                </c:pt>
                <c:pt idx="57">
                  <c:v>1.972698440702713E-2</c:v>
                </c:pt>
                <c:pt idx="58">
                  <c:v>2.0073071852764447E-2</c:v>
                </c:pt>
                <c:pt idx="59">
                  <c:v>2.0419159298501764E-2</c:v>
                </c:pt>
                <c:pt idx="60">
                  <c:v>2.0765246744239081E-2</c:v>
                </c:pt>
                <c:pt idx="61">
                  <c:v>2.1111334189976398E-2</c:v>
                </c:pt>
                <c:pt idx="62">
                  <c:v>2.1457421635713715E-2</c:v>
                </c:pt>
                <c:pt idx="63">
                  <c:v>2.1803509081451032E-2</c:v>
                </c:pt>
                <c:pt idx="64">
                  <c:v>2.2149596527188349E-2</c:v>
                </c:pt>
                <c:pt idx="65">
                  <c:v>2.2495683972925666E-2</c:v>
                </c:pt>
                <c:pt idx="66">
                  <c:v>2.2841771418662983E-2</c:v>
                </c:pt>
                <c:pt idx="67">
                  <c:v>2.31878588644003E-2</c:v>
                </c:pt>
                <c:pt idx="68">
                  <c:v>2.3533946310137617E-2</c:v>
                </c:pt>
                <c:pt idx="69">
                  <c:v>2.3880033755874934E-2</c:v>
                </c:pt>
                <c:pt idx="70">
                  <c:v>2.4226121201612251E-2</c:v>
                </c:pt>
                <c:pt idx="71">
                  <c:v>2.4572208647349568E-2</c:v>
                </c:pt>
                <c:pt idx="72">
                  <c:v>2.4918296093086885E-2</c:v>
                </c:pt>
                <c:pt idx="73">
                  <c:v>2.5264383538824202E-2</c:v>
                </c:pt>
                <c:pt idx="74">
                  <c:v>2.5610470984561519E-2</c:v>
                </c:pt>
                <c:pt idx="75">
                  <c:v>2.5956558430298836E-2</c:v>
                </c:pt>
                <c:pt idx="76">
                  <c:v>2.6302645876036153E-2</c:v>
                </c:pt>
                <c:pt idx="77">
                  <c:v>2.664873332177347E-2</c:v>
                </c:pt>
                <c:pt idx="78">
                  <c:v>2.6994820767510787E-2</c:v>
                </c:pt>
                <c:pt idx="79">
                  <c:v>2.7340908213248104E-2</c:v>
                </c:pt>
                <c:pt idx="80">
                  <c:v>2.7686995658985421E-2</c:v>
                </c:pt>
                <c:pt idx="81">
                  <c:v>2.8033083104722738E-2</c:v>
                </c:pt>
                <c:pt idx="82">
                  <c:v>2.8379170550460055E-2</c:v>
                </c:pt>
                <c:pt idx="83">
                  <c:v>2.8725257996197372E-2</c:v>
                </c:pt>
                <c:pt idx="84">
                  <c:v>2.9071345441934689E-2</c:v>
                </c:pt>
                <c:pt idx="85">
                  <c:v>2.9417432887672006E-2</c:v>
                </c:pt>
                <c:pt idx="86">
                  <c:v>2.9763520333409323E-2</c:v>
                </c:pt>
                <c:pt idx="87">
                  <c:v>3.010960777914664E-2</c:v>
                </c:pt>
                <c:pt idx="88">
                  <c:v>3.0455695224883957E-2</c:v>
                </c:pt>
                <c:pt idx="89">
                  <c:v>3.0801782670621274E-2</c:v>
                </c:pt>
                <c:pt idx="90">
                  <c:v>3.1147870116358591E-2</c:v>
                </c:pt>
                <c:pt idx="91">
                  <c:v>3.1493957562095908E-2</c:v>
                </c:pt>
                <c:pt idx="92">
                  <c:v>3.1840045007833224E-2</c:v>
                </c:pt>
                <c:pt idx="93">
                  <c:v>3.2186132453570541E-2</c:v>
                </c:pt>
                <c:pt idx="94">
                  <c:v>3.2532219899307858E-2</c:v>
                </c:pt>
                <c:pt idx="95">
                  <c:v>3.2878307345045175E-2</c:v>
                </c:pt>
                <c:pt idx="96">
                  <c:v>3.3224394790782492E-2</c:v>
                </c:pt>
                <c:pt idx="97">
                  <c:v>3.3570482236519809E-2</c:v>
                </c:pt>
                <c:pt idx="98">
                  <c:v>3.3916569682257126E-2</c:v>
                </c:pt>
                <c:pt idx="99">
                  <c:v>3.4262657127994443E-2</c:v>
                </c:pt>
                <c:pt idx="100">
                  <c:v>3.460874457373176E-2</c:v>
                </c:pt>
                <c:pt idx="101">
                  <c:v>3.4954832019469077E-2</c:v>
                </c:pt>
                <c:pt idx="102">
                  <c:v>3.5300919465206394E-2</c:v>
                </c:pt>
                <c:pt idx="103">
                  <c:v>3.5647006910943711E-2</c:v>
                </c:pt>
                <c:pt idx="104">
                  <c:v>3.5993094356681028E-2</c:v>
                </c:pt>
                <c:pt idx="105">
                  <c:v>3.6339181802418345E-2</c:v>
                </c:pt>
                <c:pt idx="106">
                  <c:v>3.6685269248155662E-2</c:v>
                </c:pt>
                <c:pt idx="107">
                  <c:v>3.7031356693892979E-2</c:v>
                </c:pt>
                <c:pt idx="108">
                  <c:v>3.7377444139630296E-2</c:v>
                </c:pt>
                <c:pt idx="109">
                  <c:v>3.7723531585367613E-2</c:v>
                </c:pt>
                <c:pt idx="110">
                  <c:v>3.806961903110493E-2</c:v>
                </c:pt>
                <c:pt idx="111">
                  <c:v>3.8415706476842247E-2</c:v>
                </c:pt>
                <c:pt idx="112">
                  <c:v>3.8761793922579564E-2</c:v>
                </c:pt>
                <c:pt idx="113">
                  <c:v>3.9107881368316881E-2</c:v>
                </c:pt>
                <c:pt idx="114">
                  <c:v>3.9453968814054198E-2</c:v>
                </c:pt>
                <c:pt idx="115">
                  <c:v>3.9800056259791515E-2</c:v>
                </c:pt>
                <c:pt idx="116">
                  <c:v>4.0146143705528832E-2</c:v>
                </c:pt>
                <c:pt idx="117">
                  <c:v>4.0492231151266149E-2</c:v>
                </c:pt>
                <c:pt idx="118">
                  <c:v>4.0838318597003466E-2</c:v>
                </c:pt>
                <c:pt idx="119">
                  <c:v>4.1184406042740783E-2</c:v>
                </c:pt>
                <c:pt idx="120">
                  <c:v>4.15304934884781E-2</c:v>
                </c:pt>
                <c:pt idx="121">
                  <c:v>4.1876580934215417E-2</c:v>
                </c:pt>
                <c:pt idx="122">
                  <c:v>4.2222668379952734E-2</c:v>
                </c:pt>
                <c:pt idx="123">
                  <c:v>4.2568755825690051E-2</c:v>
                </c:pt>
                <c:pt idx="124">
                  <c:v>4.2914843271427368E-2</c:v>
                </c:pt>
                <c:pt idx="125">
                  <c:v>4.3260930717164685E-2</c:v>
                </c:pt>
                <c:pt idx="126">
                  <c:v>4.3607018162902002E-2</c:v>
                </c:pt>
                <c:pt idx="127">
                  <c:v>4.3953105608639319E-2</c:v>
                </c:pt>
                <c:pt idx="128">
                  <c:v>4.4299193054376636E-2</c:v>
                </c:pt>
                <c:pt idx="129">
                  <c:v>4.4645280500113953E-2</c:v>
                </c:pt>
                <c:pt idx="130">
                  <c:v>4.499136794585127E-2</c:v>
                </c:pt>
                <c:pt idx="131">
                  <c:v>4.5337455391588587E-2</c:v>
                </c:pt>
                <c:pt idx="132">
                  <c:v>4.5683542837325904E-2</c:v>
                </c:pt>
                <c:pt idx="133">
                  <c:v>4.6029630283063221E-2</c:v>
                </c:pt>
                <c:pt idx="134">
                  <c:v>4.6375717728800538E-2</c:v>
                </c:pt>
                <c:pt idx="135">
                  <c:v>4.6721805174537855E-2</c:v>
                </c:pt>
                <c:pt idx="136">
                  <c:v>4.7067892620275172E-2</c:v>
                </c:pt>
                <c:pt idx="137">
                  <c:v>4.7413980066012489E-2</c:v>
                </c:pt>
                <c:pt idx="138">
                  <c:v>4.7760067511749806E-2</c:v>
                </c:pt>
                <c:pt idx="139">
                  <c:v>4.8106154957487123E-2</c:v>
                </c:pt>
                <c:pt idx="140">
                  <c:v>4.8452242403224439E-2</c:v>
                </c:pt>
                <c:pt idx="141">
                  <c:v>4.8798329848961756E-2</c:v>
                </c:pt>
                <c:pt idx="142">
                  <c:v>4.9144417294699073E-2</c:v>
                </c:pt>
                <c:pt idx="143">
                  <c:v>4.949050474043639E-2</c:v>
                </c:pt>
                <c:pt idx="144">
                  <c:v>4.9836592186173707E-2</c:v>
                </c:pt>
                <c:pt idx="145">
                  <c:v>5.0182679631911024E-2</c:v>
                </c:pt>
                <c:pt idx="146">
                  <c:v>5.0528767077648341E-2</c:v>
                </c:pt>
                <c:pt idx="147">
                  <c:v>5.0874854523385658E-2</c:v>
                </c:pt>
                <c:pt idx="148">
                  <c:v>5.1220941969122975E-2</c:v>
                </c:pt>
                <c:pt idx="149">
                  <c:v>5.1567029414860292E-2</c:v>
                </c:pt>
                <c:pt idx="150">
                  <c:v>5.1913116860597609E-2</c:v>
                </c:pt>
                <c:pt idx="151">
                  <c:v>5.2259204306334926E-2</c:v>
                </c:pt>
                <c:pt idx="152">
                  <c:v>5.2605291752072243E-2</c:v>
                </c:pt>
                <c:pt idx="153">
                  <c:v>5.295137919780956E-2</c:v>
                </c:pt>
                <c:pt idx="154">
                  <c:v>5.3297466643546877E-2</c:v>
                </c:pt>
                <c:pt idx="155">
                  <c:v>5.3643554089284194E-2</c:v>
                </c:pt>
                <c:pt idx="156">
                  <c:v>5.3989641535021511E-2</c:v>
                </c:pt>
                <c:pt idx="157">
                  <c:v>5.4335728980758828E-2</c:v>
                </c:pt>
                <c:pt idx="158">
                  <c:v>5.4681816426496145E-2</c:v>
                </c:pt>
                <c:pt idx="159">
                  <c:v>5.5027903872233462E-2</c:v>
                </c:pt>
                <c:pt idx="160">
                  <c:v>5.5373991317970779E-2</c:v>
                </c:pt>
                <c:pt idx="161">
                  <c:v>5.5720078763708096E-2</c:v>
                </c:pt>
                <c:pt idx="162">
                  <c:v>5.6066166209445413E-2</c:v>
                </c:pt>
                <c:pt idx="163">
                  <c:v>5.641225365518273E-2</c:v>
                </c:pt>
                <c:pt idx="164">
                  <c:v>5.6758341100920047E-2</c:v>
                </c:pt>
                <c:pt idx="165">
                  <c:v>5.7104428546657364E-2</c:v>
                </c:pt>
                <c:pt idx="166">
                  <c:v>5.7450515992394681E-2</c:v>
                </c:pt>
                <c:pt idx="167">
                  <c:v>5.7796603438131998E-2</c:v>
                </c:pt>
                <c:pt idx="168">
                  <c:v>5.8142690883869315E-2</c:v>
                </c:pt>
                <c:pt idx="169">
                  <c:v>5.8488778329606632E-2</c:v>
                </c:pt>
                <c:pt idx="170">
                  <c:v>5.8834865775343949E-2</c:v>
                </c:pt>
                <c:pt idx="171">
                  <c:v>5.9180953221081266E-2</c:v>
                </c:pt>
                <c:pt idx="172">
                  <c:v>5.9527040666818583E-2</c:v>
                </c:pt>
                <c:pt idx="173">
                  <c:v>5.98731281125559E-2</c:v>
                </c:pt>
                <c:pt idx="174">
                  <c:v>6.0219215558293217E-2</c:v>
                </c:pt>
                <c:pt idx="175">
                  <c:v>6.0565303004030534E-2</c:v>
                </c:pt>
                <c:pt idx="176">
                  <c:v>6.0911390449767851E-2</c:v>
                </c:pt>
                <c:pt idx="177">
                  <c:v>6.1257477895505168E-2</c:v>
                </c:pt>
                <c:pt idx="178">
                  <c:v>6.1603565341242485E-2</c:v>
                </c:pt>
                <c:pt idx="179">
                  <c:v>6.1949652786979802E-2</c:v>
                </c:pt>
                <c:pt idx="180">
                  <c:v>6.2295740232717119E-2</c:v>
                </c:pt>
                <c:pt idx="181">
                  <c:v>6.2641827678454443E-2</c:v>
                </c:pt>
                <c:pt idx="182">
                  <c:v>6.298791512419176E-2</c:v>
                </c:pt>
                <c:pt idx="183">
                  <c:v>6.3334002569929077E-2</c:v>
                </c:pt>
                <c:pt idx="184">
                  <c:v>6.3680090015666393E-2</c:v>
                </c:pt>
                <c:pt idx="185">
                  <c:v>6.402617746140371E-2</c:v>
                </c:pt>
                <c:pt idx="186">
                  <c:v>6.4372264907141027E-2</c:v>
                </c:pt>
                <c:pt idx="187">
                  <c:v>6.4718352352878344E-2</c:v>
                </c:pt>
                <c:pt idx="188">
                  <c:v>6.5064439798615661E-2</c:v>
                </c:pt>
                <c:pt idx="189">
                  <c:v>6.5410527244352978E-2</c:v>
                </c:pt>
                <c:pt idx="190">
                  <c:v>6.5756614690090295E-2</c:v>
                </c:pt>
                <c:pt idx="191">
                  <c:v>6.6102702135827612E-2</c:v>
                </c:pt>
                <c:pt idx="192">
                  <c:v>6.6448789581564929E-2</c:v>
                </c:pt>
                <c:pt idx="193">
                  <c:v>6.6794877027302246E-2</c:v>
                </c:pt>
                <c:pt idx="194">
                  <c:v>6.7140964473039563E-2</c:v>
                </c:pt>
                <c:pt idx="195">
                  <c:v>6.748705191877688E-2</c:v>
                </c:pt>
                <c:pt idx="196">
                  <c:v>6.7833139364514197E-2</c:v>
                </c:pt>
                <c:pt idx="197">
                  <c:v>6.8179226810251514E-2</c:v>
                </c:pt>
                <c:pt idx="198">
                  <c:v>6.8525314255988831E-2</c:v>
                </c:pt>
                <c:pt idx="199">
                  <c:v>6.8871401701726148E-2</c:v>
                </c:pt>
                <c:pt idx="200">
                  <c:v>6.9217489147463465E-2</c:v>
                </c:pt>
              </c:numCache>
            </c:numRef>
          </c:cat>
          <c:val>
            <c:numRef>
              <c:f>'RLC Transient'!$D$22:$D$222</c:f>
              <c:numCache>
                <c:formatCode>0.0000</c:formatCode>
                <c:ptCount val="201"/>
                <c:pt idx="0">
                  <c:v>0</c:v>
                </c:pt>
                <c:pt idx="1">
                  <c:v>5.6847613693997712E-2</c:v>
                </c:pt>
                <c:pt idx="2">
                  <c:v>0.21591617837098065</c:v>
                </c:pt>
                <c:pt idx="3">
                  <c:v>0.46100312425172318</c:v>
                </c:pt>
                <c:pt idx="4">
                  <c:v>0.77724072809309708</c:v>
                </c:pt>
                <c:pt idx="5">
                  <c:v>1.1510724198126121</c:v>
                </c:pt>
                <c:pt idx="6">
                  <c:v>1.5702178976182113</c:v>
                </c:pt>
                <c:pt idx="7">
                  <c:v>2.0236290192591646</c:v>
                </c:pt>
                <c:pt idx="8">
                  <c:v>2.5014382613615949</c:v>
                </c:pt>
                <c:pt idx="9">
                  <c:v>2.9949013681017611</c:v>
                </c:pt>
                <c:pt idx="10">
                  <c:v>3.4963356458958481</c:v>
                </c:pt>
                <c:pt idx="11">
                  <c:v>3.9990552033053817</c:v>
                </c:pt>
                <c:pt idx="12">
                  <c:v>4.4973042857160763</c:v>
                </c:pt>
                <c:pt idx="13">
                  <c:v>4.986189713097203</c:v>
                </c:pt>
                <c:pt idx="14">
                  <c:v>5.4616132966694488</c:v>
                </c:pt>
                <c:pt idx="15">
                  <c:v>5.9202049868316076</c:v>
                </c:pt>
                <c:pt idx="16">
                  <c:v>6.359257390318013</c:v>
                </c:pt>
                <c:pt idx="17">
                  <c:v>6.7766621892623373</c:v>
                </c:pt>
                <c:pt idx="18">
                  <c:v>7.1708488985139489</c:v>
                </c:pt>
                <c:pt idx="19">
                  <c:v>7.5407263099919239</c:v>
                </c:pt>
                <c:pt idx="20">
                  <c:v>7.8856268938014562</c:v>
                </c:pt>
                <c:pt idx="21">
                  <c:v>8.2052543549536345</c:v>
                </c:pt>
                <c:pt idx="22">
                  <c:v>8.4996344814534535</c:v>
                </c:pt>
                <c:pt idx="23">
                  <c:v>8.7690693638489474</c:v>
                </c:pt>
                <c:pt idx="24">
                  <c:v>9.0140950176380628</c:v>
                </c:pt>
                <c:pt idx="25">
                  <c:v>9.2354423977637783</c:v>
                </c:pt>
                <c:pt idx="26">
                  <c:v>9.4340017583374411</c:v>
                </c:pt>
                <c:pt idx="27">
                  <c:v>9.6107902802569356</c:v>
                </c:pt>
                <c:pt idx="28">
                  <c:v>9.766922864075088</c:v>
                </c:pt>
                <c:pt idx="29">
                  <c:v>9.9035859648756119</c:v>
                </c:pt>
                <c:pt idx="30">
                  <c:v>10.022014329591988</c:v>
                </c:pt>
                <c:pt idx="31">
                  <c:v>10.123470484735698</c:v>
                </c:pt>
                <c:pt idx="32">
                  <c:v>10.209226813478271</c:v>
                </c:pt>
                <c:pt idx="33">
                  <c:v>10.280550055069819</c:v>
                </c:pt>
                <c:pt idx="34">
                  <c:v>10.338688056308946</c:v>
                </c:pt>
                <c:pt idx="35">
                  <c:v>10.3848586038609</c:v>
                </c:pt>
                <c:pt idx="36">
                  <c:v>10.420240167330675</c:v>
                </c:pt>
                <c:pt idx="37">
                  <c:v>10.445964385837076</c:v>
                </c:pt>
                <c:pt idx="38">
                  <c:v>10.463110135126279</c:v>
                </c:pt>
                <c:pt idx="39">
                  <c:v>10.472699017756788</c:v>
                </c:pt>
                <c:pt idx="40">
                  <c:v>10.475692125350948</c:v>
                </c:pt>
                <c:pt idx="41">
                  <c:v>10.472987929133026</c:v>
                </c:pt>
                <c:pt idx="42">
                  <c:v>10.465421162772252</c:v>
                </c:pt>
                <c:pt idx="43">
                  <c:v>10.453762569754074</c:v>
                </c:pt>
                <c:pt idx="44">
                  <c:v>10.438719395965354</c:v>
                </c:pt>
                <c:pt idx="45">
                  <c:v>10.420936516769597</c:v>
                </c:pt>
                <c:pt idx="46">
                  <c:v>10.400998096452735</c:v>
                </c:pt>
                <c:pt idx="47">
                  <c:v>10.379429686441624</c:v>
                </c:pt>
                <c:pt idx="48">
                  <c:v>10.356700677052819</c:v>
                </c:pt>
                <c:pt idx="49">
                  <c:v>10.33322702565007</c:v>
                </c:pt>
                <c:pt idx="50">
                  <c:v>10.3093741919173</c:v>
                </c:pt>
                <c:pt idx="51">
                  <c:v>10.285460218445337</c:v>
                </c:pt>
                <c:pt idx="52">
                  <c:v>10.261758901948728</c:v>
                </c:pt>
                <c:pt idx="53">
                  <c:v>10.238503007148323</c:v>
                </c:pt>
                <c:pt idx="54">
                  <c:v>10.21588748165718</c:v>
                </c:pt>
                <c:pt idx="55">
                  <c:v>10.194072636081026</c:v>
                </c:pt>
                <c:pt idx="56">
                  <c:v>10.173187258985539</c:v>
                </c:pt>
                <c:pt idx="57">
                  <c:v>10.153331641391388</c:v>
                </c:pt>
                <c:pt idx="58">
                  <c:v>10.134580490040488</c:v>
                </c:pt>
                <c:pt idx="59">
                  <c:v>10.116985712841961</c:v>
                </c:pt>
                <c:pt idx="60">
                  <c:v>10.100579063667247</c:v>
                </c:pt>
                <c:pt idx="61">
                  <c:v>10.085374637035647</c:v>
                </c:pt>
                <c:pt idx="62">
                  <c:v>10.071371206232069</c:v>
                </c:pt>
                <c:pt idx="63">
                  <c:v>10.058554401047029</c:v>
                </c:pt>
                <c:pt idx="64">
                  <c:v>10.046898723645384</c:v>
                </c:pt>
                <c:pt idx="65">
                  <c:v>10.036369403076097</c:v>
                </c:pt>
                <c:pt idx="66">
                  <c:v>10.026924090652136</c:v>
                </c:pt>
                <c:pt idx="67">
                  <c:v>10.018514399879184</c:v>
                </c:pt>
                <c:pt idx="68">
                  <c:v>10.011087295815884</c:v>
                </c:pt>
                <c:pt idx="69">
                  <c:v>10.004586339728199</c:v>
                </c:pt>
                <c:pt idx="70">
                  <c:v>9.9989527956768214</c:v>
                </c:pt>
                <c:pt idx="71">
                  <c:v>9.9941266062697967</c:v>
                </c:pt>
                <c:pt idx="72">
                  <c:v>9.9900472452416107</c:v>
                </c:pt>
                <c:pt idx="73">
                  <c:v>9.9866544548036522</c:v>
                </c:pt>
                <c:pt idx="74">
                  <c:v>9.9838888758663416</c:v>
                </c:pt>
                <c:pt idx="75">
                  <c:v>9.9816925792769808</c:v>
                </c:pt>
                <c:pt idx="76">
                  <c:v>9.980009506164464</c:v>
                </c:pt>
                <c:pt idx="77">
                  <c:v>9.9787858253470336</c:v>
                </c:pt>
                <c:pt idx="78">
                  <c:v>9.9779702155550218</c:v>
                </c:pt>
                <c:pt idx="79">
                  <c:v>9.9775140799591959</c:v>
                </c:pt>
                <c:pt idx="80">
                  <c:v>9.977371700187911</c:v>
                </c:pt>
                <c:pt idx="81">
                  <c:v>9.9775003366725361</c:v>
                </c:pt>
                <c:pt idx="82">
                  <c:v>9.9778602817897557</c:v>
                </c:pt>
                <c:pt idx="83">
                  <c:v>9.978414871878897</c:v>
                </c:pt>
                <c:pt idx="84">
                  <c:v>9.9791304638100549</c:v>
                </c:pt>
                <c:pt idx="85">
                  <c:v>9.9799763813700046</c:v>
                </c:pt>
                <c:pt idx="86">
                  <c:v>9.9809248363236716</c:v>
                </c:pt>
                <c:pt idx="87">
                  <c:v>9.9819508286035337</c:v>
                </c:pt>
                <c:pt idx="88">
                  <c:v>9.983032029681862</c:v>
                </c:pt>
                <c:pt idx="89">
                  <c:v>9.9841486527944152</c:v>
                </c:pt>
                <c:pt idx="90">
                  <c:v>9.9852833133118128</c:v>
                </c:pt>
                <c:pt idx="91">
                  <c:v>9.986420882198459</c:v>
                </c:pt>
                <c:pt idx="92">
                  <c:v>9.9875483351602483</c:v>
                </c:pt>
                <c:pt idx="93">
                  <c:v>9.9886545997627021</c:v>
                </c:pt>
                <c:pt idx="94">
                  <c:v>9.9897304025013831</c:v>
                </c:pt>
                <c:pt idx="95">
                  <c:v>9.9907681175270149</c:v>
                </c:pt>
                <c:pt idx="96">
                  <c:v>9.9917616184689457</c:v>
                </c:pt>
                <c:pt idx="97">
                  <c:v>9.9927061345622974</c:v>
                </c:pt>
                <c:pt idx="98">
                  <c:v>9.9935981120661861</c:v>
                </c:pt>
                <c:pt idx="99">
                  <c:v>9.9944350817622514</c:v>
                </c:pt>
                <c:pt idx="100">
                  <c:v>9.9952155331438313</c:v>
                </c:pt>
                <c:pt idx="101">
                  <c:v>9.9959387957457437</c:v>
                </c:pt>
                <c:pt idx="102">
                  <c:v>9.9966049279218598</c:v>
                </c:pt>
                <c:pt idx="103">
                  <c:v>9.9972146132517281</c:v>
                </c:pt>
                <c:pt idx="104">
                  <c:v>9.9977690646472883</c:v>
                </c:pt>
                <c:pt idx="105">
                  <c:v>9.9982699361352996</c:v>
                </c:pt>
                <c:pt idx="106">
                  <c:v>9.9987192422094537</c:v>
                </c:pt>
                <c:pt idx="107">
                  <c:v>9.999119284577187</c:v>
                </c:pt>
                <c:pt idx="108">
                  <c:v>9.9994725860688956</c:v>
                </c:pt>
                <c:pt idx="109">
                  <c:v>9.9997818314307114</c:v>
                </c:pt>
                <c:pt idx="110">
                  <c:v>10.000049814685017</c:v>
                </c:pt>
                <c:pt idx="111">
                  <c:v>10.000279392714654</c:v>
                </c:pt>
                <c:pt idx="112">
                  <c:v>10.000473444706412</c:v>
                </c:pt>
                <c:pt idx="113">
                  <c:v>10.000634837075841</c:v>
                </c:pt>
                <c:pt idx="114">
                  <c:v>10.000766393488094</c:v>
                </c:pt>
                <c:pt idx="115">
                  <c:v>10.000870869587342</c:v>
                </c:pt>
                <c:pt idx="116">
                  <c:v>10.000950932049943</c:v>
                </c:pt>
                <c:pt idx="117">
                  <c:v>10.001009141582824</c:v>
                </c:pt>
                <c:pt idx="118">
                  <c:v>10.001047939498367</c:v>
                </c:pt>
                <c:pt idx="119">
                  <c:v>10.001069637509467</c:v>
                </c:pt>
                <c:pt idx="120">
                  <c:v>10.001076410403069</c:v>
                </c:pt>
                <c:pt idx="121">
                  <c:v>10.001070291266792</c:v>
                </c:pt>
                <c:pt idx="122">
                  <c:v>10.001053168961009</c:v>
                </c:pt>
                <c:pt idx="123">
                  <c:v>10.00102678754719</c:v>
                </c:pt>
                <c:pt idx="124">
                  <c:v>10.000992747402528</c:v>
                </c:pt>
                <c:pt idx="125">
                  <c:v>10.000952507770331</c:v>
                </c:pt>
                <c:pt idx="126">
                  <c:v>10.000907390515062</c:v>
                </c:pt>
                <c:pt idx="127">
                  <c:v>10.00085858487024</c:v>
                </c:pt>
                <c:pt idx="128">
                  <c:v>10.000807152986352</c:v>
                </c:pt>
                <c:pt idx="129">
                  <c:v>10.000754036104189</c:v>
                </c:pt>
                <c:pt idx="130">
                  <c:v>10.000700061196884</c:v>
                </c:pt>
                <c:pt idx="131">
                  <c:v>10.00064594794074</c:v>
                </c:pt>
                <c:pt idx="132">
                  <c:v>10.000592315891177</c:v>
                </c:pt>
                <c:pt idx="133">
                  <c:v>10.000539691755183</c:v>
                </c:pt>
                <c:pt idx="134">
                  <c:v>10.000488516666062</c:v>
                </c:pt>
                <c:pt idx="135">
                  <c:v>10.000439153379457</c:v>
                </c:pt>
                <c:pt idx="136">
                  <c:v>10.000391893321996</c:v>
                </c:pt>
                <c:pt idx="137">
                  <c:v>10.000346963435209</c:v>
                </c:pt>
                <c:pt idx="138">
                  <c:v>10.00030453276775</c:v>
                </c:pt>
                <c:pt idx="139">
                  <c:v>10.000264718778391</c:v>
                </c:pt>
                <c:pt idx="140">
                  <c:v>10.000227593320748</c:v>
                </c:pt>
                <c:pt idx="141">
                  <c:v>10.000193188288319</c:v>
                </c:pt>
                <c:pt idx="142">
                  <c:v>10.000161500905257</c:v>
                </c:pt>
                <c:pt idx="143">
                  <c:v>10.000132498654221</c:v>
                </c:pt>
                <c:pt idx="144">
                  <c:v>10.000106123837947</c:v>
                </c:pt>
                <c:pt idx="145">
                  <c:v>10.000082297775679</c:v>
                </c:pt>
                <c:pt idx="146">
                  <c:v>10.000060924639545</c:v>
                </c:pt>
                <c:pt idx="147">
                  <c:v>10.00004189493913</c:v>
                </c:pt>
                <c:pt idx="148">
                  <c:v>10.000025088665383</c:v>
                </c:pt>
                <c:pt idx="149">
                  <c:v>10.00001037810704</c:v>
                </c:pt>
                <c:pt idx="150">
                  <c:v>9.9999976303546614</c:v>
                </c:pt>
                <c:pt idx="151">
                  <c:v>9.9999867095085762</c:v>
                </c:pt>
                <c:pt idx="152">
                  <c:v>9.9999774786081375</c:v>
                </c:pt>
                <c:pt idx="153">
                  <c:v>9.9999698013002138</c:v>
                </c:pt>
                <c:pt idx="154">
                  <c:v>9.9999635432652791</c:v>
                </c:pt>
                <c:pt idx="155">
                  <c:v>9.9999585734195087</c:v>
                </c:pt>
                <c:pt idx="156">
                  <c:v>9.9999547649112088</c:v>
                </c:pt>
                <c:pt idx="157">
                  <c:v>9.9999519959295693</c:v>
                </c:pt>
                <c:pt idx="158">
                  <c:v>9.9999501503432793</c:v>
                </c:pt>
                <c:pt idx="159">
                  <c:v>9.9999491181859774</c:v>
                </c:pt>
                <c:pt idx="160">
                  <c:v>9.9999487960047624</c:v>
                </c:pt>
                <c:pt idx="161">
                  <c:v>9.9999490870872556</c:v>
                </c:pt>
                <c:pt idx="162">
                  <c:v>9.9999499015818589</c:v>
                </c:pt>
                <c:pt idx="163">
                  <c:v>9.9999511565249382</c:v>
                </c:pt>
                <c:pt idx="164">
                  <c:v>9.9999527757878166</c:v>
                </c:pt>
                <c:pt idx="165">
                  <c:v>9.9999546899554321</c:v>
                </c:pt>
                <c:pt idx="166">
                  <c:v>9.9999568361477369</c:v>
                </c:pt>
                <c:pt idx="167">
                  <c:v>9.9999591577938283</c:v>
                </c:pt>
                <c:pt idx="168">
                  <c:v>9.9999616043680444</c:v>
                </c:pt>
                <c:pt idx="169">
                  <c:v>9.9999641310963003</c:v>
                </c:pt>
                <c:pt idx="170">
                  <c:v>9.9999666986401383</c:v>
                </c:pt>
                <c:pt idx="171">
                  <c:v>9.9999692727651208</c:v>
                </c:pt>
                <c:pt idx="172">
                  <c:v>9.9999718239994841</c:v>
                </c:pt>
                <c:pt idx="173">
                  <c:v>9.9999743272881947</c:v>
                </c:pt>
                <c:pt idx="174">
                  <c:v>9.9999767616468844</c:v>
                </c:pt>
                <c:pt idx="175">
                  <c:v>9.9999791098195558</c:v>
                </c:pt>
                <c:pt idx="176">
                  <c:v>9.999981357943275</c:v>
                </c:pt>
                <c:pt idx="177">
                  <c:v>9.9999834952226081</c:v>
                </c:pt>
                <c:pt idx="178">
                  <c:v>9.9999855136160463</c:v>
                </c:pt>
                <c:pt idx="179">
                  <c:v>9.9999874075361674</c:v>
                </c:pt>
                <c:pt idx="180">
                  <c:v>9.9999891735649538</c:v>
                </c:pt>
                <c:pt idx="181">
                  <c:v>9.9999908101852544</c:v>
                </c:pt>
                <c:pt idx="182">
                  <c:v>9.999992317529113</c:v>
                </c:pt>
                <c:pt idx="183">
                  <c:v>9.9999936971433563</c:v>
                </c:pt>
                <c:pt idx="184">
                  <c:v>9.9999949517725977</c:v>
                </c:pt>
                <c:pt idx="185">
                  <c:v>9.9999960851596175</c:v>
                </c:pt>
                <c:pt idx="186">
                  <c:v>9.9999971018628724</c:v>
                </c:pt>
                <c:pt idx="187">
                  <c:v>9.9999980070907366</c:v>
                </c:pt>
                <c:pt idx="188">
                  <c:v>9.9999988065519432</c:v>
                </c:pt>
                <c:pt idx="189">
                  <c:v>9.99999950632162</c:v>
                </c:pt>
                <c:pt idx="190">
                  <c:v>10.000000112722162</c:v>
                </c:pt>
                <c:pt idx="191">
                  <c:v>10.00000063221821</c:v>
                </c:pt>
                <c:pt idx="192">
                  <c:v>10.000001071324876</c:v>
                </c:pt>
                <c:pt idx="193">
                  <c:v>10.000001436528368</c:v>
                </c:pt>
                <c:pt idx="194">
                  <c:v>10.000001734218163</c:v>
                </c:pt>
                <c:pt idx="195">
                  <c:v>10.000001970629812</c:v>
                </c:pt>
                <c:pt idx="196">
                  <c:v>10.000002151797553</c:v>
                </c:pt>
                <c:pt idx="197">
                  <c:v>10.00000228351583</c:v>
                </c:pt>
                <c:pt idx="198">
                  <c:v>10.000002371308916</c:v>
                </c:pt>
                <c:pt idx="199">
                  <c:v>10.000002420407824</c:v>
                </c:pt>
                <c:pt idx="200">
                  <c:v>10.000002435733732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99C-4EB9-AA98-992E28CC9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3816162"/>
        <c:axId val="29118504"/>
      </c:lineChart>
      <c:catAx>
        <c:axId val="338161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Time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118504"/>
        <c:crosses val="autoZero"/>
        <c:auto val="1"/>
        <c:lblAlgn val="ctr"/>
        <c:lblOffset val="100"/>
        <c:noMultiLvlLbl val="0"/>
      </c:catAx>
      <c:valAx>
        <c:axId val="291185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Voltage (V)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8161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403860</xdr:colOff>
      <xdr:row>0</xdr:row>
      <xdr:rowOff>153300</xdr:rowOff>
    </xdr:from>
    <xdr:to>
      <xdr:col>10</xdr:col>
      <xdr:colOff>436980</xdr:colOff>
      <xdr:row>18</xdr:row>
      <xdr:rowOff>293160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2"/>
  <sheetViews>
    <sheetView tabSelected="1" zoomScaleNormal="100" workbookViewId="0">
      <selection activeCell="B6" sqref="B6"/>
    </sheetView>
  </sheetViews>
  <sheetFormatPr defaultColWidth="8.6640625" defaultRowHeight="14.4" x14ac:dyDescent="0.3"/>
  <cols>
    <col min="1" max="1" width="34" customWidth="1"/>
    <col min="2" max="4" width="3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</row>
    <row r="5" spans="1:2" x14ac:dyDescent="0.3">
      <c r="A5" s="4" t="s">
        <v>3</v>
      </c>
      <c r="B5" s="5">
        <v>44</v>
      </c>
    </row>
    <row r="6" spans="1:2" x14ac:dyDescent="0.3">
      <c r="A6" s="4" t="s">
        <v>4</v>
      </c>
      <c r="B6" s="5">
        <v>0.1</v>
      </c>
    </row>
    <row r="7" spans="1:2" x14ac:dyDescent="0.3">
      <c r="A7" s="4" t="s">
        <v>5</v>
      </c>
      <c r="B7" s="5">
        <v>1.0009999999999999E-4</v>
      </c>
    </row>
    <row r="8" spans="1:2" x14ac:dyDescent="0.3">
      <c r="A8" s="4" t="s">
        <v>6</v>
      </c>
      <c r="B8" s="5">
        <v>10</v>
      </c>
    </row>
    <row r="10" spans="1:2" x14ac:dyDescent="0.3">
      <c r="A10" s="3" t="s">
        <v>7</v>
      </c>
    </row>
    <row r="11" spans="1:2" x14ac:dyDescent="0.3">
      <c r="A11" s="4" t="s">
        <v>8</v>
      </c>
      <c r="B11" s="6">
        <f>$B$5/(2*$B$6)</f>
        <v>220</v>
      </c>
    </row>
    <row r="12" spans="1:2" x14ac:dyDescent="0.3">
      <c r="A12" s="4" t="s">
        <v>9</v>
      </c>
      <c r="B12" s="6">
        <f>1/SQRT($B$6*$B$7)</f>
        <v>316.06977062050697</v>
      </c>
    </row>
    <row r="13" spans="1:2" x14ac:dyDescent="0.3">
      <c r="A13" s="4" t="s">
        <v>10</v>
      </c>
      <c r="B13" s="6">
        <f>SQRT($B$12^2-$B$11^2)</f>
        <v>226.93633446431596</v>
      </c>
    </row>
    <row r="14" spans="1:2" x14ac:dyDescent="0.3">
      <c r="A14" s="4" t="s">
        <v>11</v>
      </c>
      <c r="B14" s="7">
        <f>2*PI()/$B$13</f>
        <v>2.7686995658985449E-2</v>
      </c>
    </row>
    <row r="15" spans="1:2" x14ac:dyDescent="0.3">
      <c r="A15" s="4" t="s">
        <v>12</v>
      </c>
      <c r="B15" s="7">
        <f>2.5*$B$14</f>
        <v>6.9217489147463618E-2</v>
      </c>
    </row>
    <row r="16" spans="1:2" x14ac:dyDescent="0.3">
      <c r="A16" s="4" t="s">
        <v>13</v>
      </c>
      <c r="B16" s="5">
        <v>200</v>
      </c>
    </row>
    <row r="17" spans="1:4" x14ac:dyDescent="0.3">
      <c r="A17" s="4" t="s">
        <v>14</v>
      </c>
      <c r="B17" s="7">
        <f>$B$15/$B$16</f>
        <v>3.4608744573731806E-4</v>
      </c>
    </row>
    <row r="19" spans="1:4" ht="45" customHeight="1" x14ac:dyDescent="0.3">
      <c r="A19" s="9" t="s">
        <v>15</v>
      </c>
      <c r="B19" s="9"/>
      <c r="C19" s="9"/>
      <c r="D19" s="9"/>
    </row>
    <row r="21" spans="1:4" ht="30" customHeight="1" x14ac:dyDescent="0.3">
      <c r="A21" s="8" t="s">
        <v>16</v>
      </c>
      <c r="B21" s="8" t="s">
        <v>17</v>
      </c>
      <c r="C21" s="8" t="s">
        <v>18</v>
      </c>
      <c r="D21" s="8" t="s">
        <v>19</v>
      </c>
    </row>
    <row r="22" spans="1:4" x14ac:dyDescent="0.3">
      <c r="A22" s="7">
        <v>0</v>
      </c>
      <c r="B22" s="6">
        <f t="shared" ref="B22:B85" si="0">(($B$8/($B$6*$B$13))*EXP(-$B$11*A22)*SIN($B$13*A22))*$B$5</f>
        <v>0</v>
      </c>
      <c r="C22" s="6">
        <f t="shared" ref="C22:C85" si="1">$B$8-B22-D22</f>
        <v>10</v>
      </c>
      <c r="D22" s="6">
        <f t="shared" ref="D22:D85" si="2">$B$8*(1-EXP(-$B$11*A22)*(COS($B$13*A22)+($B$11/$B$13)*SIN($B$13*A22)))</f>
        <v>0</v>
      </c>
    </row>
    <row r="23" spans="1:4" x14ac:dyDescent="0.3">
      <c r="A23" s="7">
        <f t="shared" ref="A23:A54" si="3">A22+$B$17</f>
        <v>3.4608744573731806E-4</v>
      </c>
      <c r="B23" s="6">
        <f t="shared" si="0"/>
        <v>1.4096947690220176</v>
      </c>
      <c r="C23" s="6">
        <f t="shared" si="1"/>
        <v>8.5334576172839842</v>
      </c>
      <c r="D23" s="6">
        <f t="shared" si="2"/>
        <v>5.6847613693997712E-2</v>
      </c>
    </row>
    <row r="24" spans="1:4" x14ac:dyDescent="0.3">
      <c r="A24" s="7">
        <f t="shared" si="3"/>
        <v>6.9217489147463613E-4</v>
      </c>
      <c r="B24" s="6">
        <f t="shared" si="0"/>
        <v>2.6046380471320685</v>
      </c>
      <c r="C24" s="6">
        <f t="shared" si="1"/>
        <v>7.1794457744969513</v>
      </c>
      <c r="D24" s="6">
        <f t="shared" si="2"/>
        <v>0.21591617837098065</v>
      </c>
    </row>
    <row r="25" spans="1:4" x14ac:dyDescent="0.3">
      <c r="A25" s="7">
        <f t="shared" si="3"/>
        <v>1.0382623372119542E-3</v>
      </c>
      <c r="B25" s="6">
        <f t="shared" si="0"/>
        <v>3.6019140166590211</v>
      </c>
      <c r="C25" s="6">
        <f t="shared" si="1"/>
        <v>5.937082859089255</v>
      </c>
      <c r="D25" s="6">
        <f t="shared" si="2"/>
        <v>0.46100312425172318</v>
      </c>
    </row>
    <row r="26" spans="1:4" x14ac:dyDescent="0.3">
      <c r="A26" s="7">
        <f t="shared" si="3"/>
        <v>1.3843497829492723E-3</v>
      </c>
      <c r="B26" s="6">
        <f t="shared" si="0"/>
        <v>4.4183854599720593</v>
      </c>
      <c r="C26" s="6">
        <f t="shared" si="1"/>
        <v>4.8043738119348438</v>
      </c>
      <c r="D26" s="6">
        <f t="shared" si="2"/>
        <v>0.77724072809309708</v>
      </c>
    </row>
    <row r="27" spans="1:4" x14ac:dyDescent="0.3">
      <c r="A27" s="7">
        <f t="shared" si="3"/>
        <v>1.7304372286865903E-3</v>
      </c>
      <c r="B27" s="6">
        <f t="shared" si="0"/>
        <v>5.0705380561051854</v>
      </c>
      <c r="C27" s="6">
        <f t="shared" si="1"/>
        <v>3.7783895240822023</v>
      </c>
      <c r="D27" s="6">
        <f t="shared" si="2"/>
        <v>1.1510724198126121</v>
      </c>
    </row>
    <row r="28" spans="1:4" x14ac:dyDescent="0.3">
      <c r="A28" s="7">
        <f t="shared" si="3"/>
        <v>2.0765246744239084E-3</v>
      </c>
      <c r="B28" s="6">
        <f t="shared" si="0"/>
        <v>5.5743508519843923</v>
      </c>
      <c r="C28" s="6">
        <f t="shared" si="1"/>
        <v>2.8554312503973964</v>
      </c>
      <c r="D28" s="6">
        <f t="shared" si="2"/>
        <v>1.5702178976182113</v>
      </c>
    </row>
    <row r="29" spans="1:4" x14ac:dyDescent="0.3">
      <c r="A29" s="7">
        <f t="shared" si="3"/>
        <v>2.4226121201612267E-3</v>
      </c>
      <c r="B29" s="6">
        <f t="shared" si="0"/>
        <v>5.9451906473002722</v>
      </c>
      <c r="C29" s="6">
        <f t="shared" si="1"/>
        <v>2.0311803334405631</v>
      </c>
      <c r="D29" s="6">
        <f t="shared" si="2"/>
        <v>2.0236290192591646</v>
      </c>
    </row>
    <row r="30" spans="1:4" x14ac:dyDescent="0.3">
      <c r="A30" s="7">
        <f t="shared" si="3"/>
        <v>2.7686995658985445E-3</v>
      </c>
      <c r="B30" s="6">
        <f t="shared" si="0"/>
        <v>6.1977280862739406</v>
      </c>
      <c r="C30" s="6">
        <f t="shared" si="1"/>
        <v>1.3008336523644646</v>
      </c>
      <c r="D30" s="6">
        <f t="shared" si="2"/>
        <v>2.5014382613615949</v>
      </c>
    </row>
    <row r="31" spans="1:4" x14ac:dyDescent="0.3">
      <c r="A31" s="7">
        <f t="shared" si="3"/>
        <v>3.1147870116358624E-3</v>
      </c>
      <c r="B31" s="6">
        <f t="shared" si="0"/>
        <v>6.345873320581644</v>
      </c>
      <c r="C31" s="6">
        <f t="shared" si="1"/>
        <v>0.6592253113165949</v>
      </c>
      <c r="D31" s="6">
        <f t="shared" si="2"/>
        <v>2.9949013681017611</v>
      </c>
    </row>
    <row r="32" spans="1:4" x14ac:dyDescent="0.3">
      <c r="A32" s="7">
        <f t="shared" si="3"/>
        <v>3.4608744573731802E-3</v>
      </c>
      <c r="B32" s="6">
        <f t="shared" si="0"/>
        <v>6.402729192370689</v>
      </c>
      <c r="C32" s="6">
        <f t="shared" si="1"/>
        <v>0.10093516173346284</v>
      </c>
      <c r="D32" s="6">
        <f t="shared" si="2"/>
        <v>3.4963356458958481</v>
      </c>
    </row>
    <row r="33" spans="1:4" x14ac:dyDescent="0.3">
      <c r="A33" s="7">
        <f t="shared" si="3"/>
        <v>3.806961903110498E-3</v>
      </c>
      <c r="B33" s="6">
        <f t="shared" si="0"/>
        <v>6.3805599817497756</v>
      </c>
      <c r="C33" s="6">
        <f t="shared" si="1"/>
        <v>-0.37961518505515723</v>
      </c>
      <c r="D33" s="6">
        <f t="shared" si="2"/>
        <v>3.9990552033053817</v>
      </c>
    </row>
    <row r="34" spans="1:4" x14ac:dyDescent="0.3">
      <c r="A34" s="7">
        <f t="shared" si="3"/>
        <v>4.1530493488478159E-3</v>
      </c>
      <c r="B34" s="6">
        <f t="shared" si="0"/>
        <v>6.2907738667890296</v>
      </c>
      <c r="C34" s="6">
        <f t="shared" si="1"/>
        <v>-0.78807815250510593</v>
      </c>
      <c r="D34" s="6">
        <f t="shared" si="2"/>
        <v>4.4973042857160763</v>
      </c>
    </row>
    <row r="35" spans="1:4" x14ac:dyDescent="0.3">
      <c r="A35" s="7">
        <f t="shared" si="3"/>
        <v>4.4991367945851337E-3</v>
      </c>
      <c r="B35" s="6">
        <f t="shared" si="0"/>
        <v>6.143917353610779</v>
      </c>
      <c r="C35" s="6">
        <f t="shared" si="1"/>
        <v>-1.130107066707982</v>
      </c>
      <c r="D35" s="6">
        <f t="shared" si="2"/>
        <v>4.986189713097203</v>
      </c>
    </row>
    <row r="36" spans="1:4" x14ac:dyDescent="0.3">
      <c r="A36" s="7">
        <f t="shared" si="3"/>
        <v>4.8452242403224516E-3</v>
      </c>
      <c r="B36" s="6">
        <f t="shared" si="0"/>
        <v>5.9496800475448826</v>
      </c>
      <c r="C36" s="6">
        <f t="shared" si="1"/>
        <v>-1.4112933442143314</v>
      </c>
      <c r="D36" s="6">
        <f t="shared" si="2"/>
        <v>5.4616132966694488</v>
      </c>
    </row>
    <row r="37" spans="1:4" x14ac:dyDescent="0.3">
      <c r="A37" s="7">
        <f t="shared" si="3"/>
        <v>5.1913116860597694E-3</v>
      </c>
      <c r="B37" s="6">
        <f t="shared" si="0"/>
        <v>5.7169082517608576</v>
      </c>
      <c r="C37" s="6">
        <f t="shared" si="1"/>
        <v>-1.6371132385924652</v>
      </c>
      <c r="D37" s="6">
        <f t="shared" si="2"/>
        <v>5.9202049868316076</v>
      </c>
    </row>
    <row r="38" spans="1:4" x14ac:dyDescent="0.3">
      <c r="A38" s="7">
        <f t="shared" si="3"/>
        <v>5.5373991317970873E-3</v>
      </c>
      <c r="B38" s="6">
        <f t="shared" si="0"/>
        <v>5.4536259957047948</v>
      </c>
      <c r="C38" s="6">
        <f t="shared" si="1"/>
        <v>-1.8128833860228077</v>
      </c>
      <c r="D38" s="6">
        <f t="shared" si="2"/>
        <v>6.359257390318013</v>
      </c>
    </row>
    <row r="39" spans="1:4" x14ac:dyDescent="0.3">
      <c r="A39" s="7">
        <f t="shared" si="3"/>
        <v>5.8834865775344051E-3</v>
      </c>
      <c r="B39" s="6">
        <f t="shared" si="0"/>
        <v>5.1670622107089299</v>
      </c>
      <c r="C39" s="6">
        <f t="shared" si="1"/>
        <v>-1.9437243999712672</v>
      </c>
      <c r="D39" s="6">
        <f t="shared" si="2"/>
        <v>6.7766621892623373</v>
      </c>
    </row>
    <row r="40" spans="1:4" x14ac:dyDescent="0.3">
      <c r="A40" s="7">
        <f t="shared" si="3"/>
        <v>6.229574023271723E-3</v>
      </c>
      <c r="B40" s="6">
        <f t="shared" si="0"/>
        <v>4.8636828831542118</v>
      </c>
      <c r="C40" s="6">
        <f t="shared" si="1"/>
        <v>-2.0345317816681607</v>
      </c>
      <c r="D40" s="6">
        <f t="shared" si="2"/>
        <v>7.1708488985139489</v>
      </c>
    </row>
    <row r="41" spans="1:4" x14ac:dyDescent="0.3">
      <c r="A41" s="7">
        <f t="shared" si="3"/>
        <v>6.5756614690090408E-3</v>
      </c>
      <c r="B41" s="6">
        <f t="shared" si="0"/>
        <v>4.5492271255843804</v>
      </c>
      <c r="C41" s="6">
        <f t="shared" si="1"/>
        <v>-2.0899534355763043</v>
      </c>
      <c r="D41" s="6">
        <f t="shared" si="2"/>
        <v>7.5407263099919239</v>
      </c>
    </row>
    <row r="42" spans="1:4" x14ac:dyDescent="0.3">
      <c r="A42" s="7">
        <f t="shared" si="3"/>
        <v>6.9217489147463587E-3</v>
      </c>
      <c r="B42" s="6">
        <f t="shared" si="0"/>
        <v>4.2287462123970823</v>
      </c>
      <c r="C42" s="6">
        <f t="shared" si="1"/>
        <v>-2.1143731061985385</v>
      </c>
      <c r="D42" s="6">
        <f t="shared" si="2"/>
        <v>7.8856268938014562</v>
      </c>
    </row>
    <row r="43" spans="1:4" x14ac:dyDescent="0.3">
      <c r="A43" s="7">
        <f t="shared" si="3"/>
        <v>7.2678363604836765E-3</v>
      </c>
      <c r="B43" s="6">
        <f t="shared" si="0"/>
        <v>3.9066447285309609</v>
      </c>
      <c r="C43" s="6">
        <f t="shared" si="1"/>
        <v>-2.1118990834845954</v>
      </c>
      <c r="D43" s="6">
        <f t="shared" si="2"/>
        <v>8.2052543549536345</v>
      </c>
    </row>
    <row r="44" spans="1:4" x14ac:dyDescent="0.3">
      <c r="A44" s="7">
        <f t="shared" si="3"/>
        <v>7.6139238062209944E-3</v>
      </c>
      <c r="B44" s="6">
        <f t="shared" si="0"/>
        <v>3.5867230764251756</v>
      </c>
      <c r="C44" s="6">
        <f t="shared" si="1"/>
        <v>-2.0863575578786291</v>
      </c>
      <c r="D44" s="6">
        <f t="shared" si="2"/>
        <v>8.4996344814534535</v>
      </c>
    </row>
    <row r="45" spans="1:4" x14ac:dyDescent="0.3">
      <c r="A45" s="7">
        <f t="shared" si="3"/>
        <v>7.9600112519583131E-3</v>
      </c>
      <c r="B45" s="6">
        <f t="shared" si="0"/>
        <v>3.2722206780724732</v>
      </c>
      <c r="C45" s="6">
        <f t="shared" si="1"/>
        <v>-2.0412900419214211</v>
      </c>
      <c r="D45" s="6">
        <f t="shared" si="2"/>
        <v>8.7690693638489474</v>
      </c>
    </row>
    <row r="46" spans="1:4" x14ac:dyDescent="0.3">
      <c r="A46" s="7">
        <f t="shared" si="3"/>
        <v>8.3060986976956318E-3</v>
      </c>
      <c r="B46" s="6">
        <f t="shared" si="0"/>
        <v>2.9658592949542788</v>
      </c>
      <c r="C46" s="6">
        <f t="shared" si="1"/>
        <v>-1.9799543125923416</v>
      </c>
      <c r="D46" s="6">
        <f t="shared" si="2"/>
        <v>9.0140950176380628</v>
      </c>
    </row>
    <row r="47" spans="1:4" x14ac:dyDescent="0.3">
      <c r="A47" s="7">
        <f t="shared" si="3"/>
        <v>8.6521861434329505E-3</v>
      </c>
      <c r="B47" s="6">
        <f t="shared" si="0"/>
        <v>2.6698859688708461</v>
      </c>
      <c r="C47" s="6">
        <f t="shared" si="1"/>
        <v>-1.9053283666346239</v>
      </c>
      <c r="D47" s="6">
        <f t="shared" si="2"/>
        <v>9.2354423977637783</v>
      </c>
    </row>
    <row r="48" spans="1:4" x14ac:dyDescent="0.3">
      <c r="A48" s="7">
        <f t="shared" si="3"/>
        <v>8.9982735891702692E-3</v>
      </c>
      <c r="B48" s="6">
        <f t="shared" si="0"/>
        <v>2.386115161082897</v>
      </c>
      <c r="C48" s="6">
        <f t="shared" si="1"/>
        <v>-1.8201169194203377</v>
      </c>
      <c r="D48" s="6">
        <f t="shared" si="2"/>
        <v>9.4340017583374411</v>
      </c>
    </row>
    <row r="49" spans="1:4" x14ac:dyDescent="0.3">
      <c r="A49" s="7">
        <f t="shared" si="3"/>
        <v>9.3443610349075879E-3</v>
      </c>
      <c r="B49" s="6">
        <f t="shared" si="0"/>
        <v>2.1159697357607015</v>
      </c>
      <c r="C49" s="6">
        <f t="shared" si="1"/>
        <v>-1.7267600160176375</v>
      </c>
      <c r="D49" s="6">
        <f t="shared" si="2"/>
        <v>9.6107902802569356</v>
      </c>
    </row>
    <row r="50" spans="1:4" x14ac:dyDescent="0.3">
      <c r="A50" s="7">
        <f t="shared" si="3"/>
        <v>9.6904484806449066E-3</v>
      </c>
      <c r="B50" s="6">
        <f t="shared" si="0"/>
        <v>1.8605204965543847</v>
      </c>
      <c r="C50" s="6">
        <f t="shared" si="1"/>
        <v>-1.6274433606294725</v>
      </c>
      <c r="D50" s="6">
        <f t="shared" si="2"/>
        <v>9.766922864075088</v>
      </c>
    </row>
    <row r="51" spans="1:4" x14ac:dyDescent="0.3">
      <c r="A51" s="7">
        <f t="shared" si="3"/>
        <v>1.0036535926382225E-2</v>
      </c>
      <c r="B51" s="6">
        <f t="shared" si="0"/>
        <v>1.6205240422726981</v>
      </c>
      <c r="C51" s="6">
        <f t="shared" si="1"/>
        <v>-1.5241100071483107</v>
      </c>
      <c r="D51" s="6">
        <f t="shared" si="2"/>
        <v>9.9035859648756119</v>
      </c>
    </row>
    <row r="52" spans="1:4" x14ac:dyDescent="0.3">
      <c r="A52" s="7">
        <f t="shared" si="3"/>
        <v>1.0382623372119544E-2</v>
      </c>
      <c r="B52" s="6">
        <f t="shared" si="0"/>
        <v>1.3964587593498941</v>
      </c>
      <c r="C52" s="6">
        <f t="shared" si="1"/>
        <v>-1.418473088941882</v>
      </c>
      <c r="D52" s="6">
        <f t="shared" si="2"/>
        <v>10.022014329591988</v>
      </c>
    </row>
    <row r="53" spans="1:4" x14ac:dyDescent="0.3">
      <c r="A53" s="7">
        <f t="shared" si="3"/>
        <v>1.0728710817856863E-2</v>
      </c>
      <c r="B53" s="6">
        <f t="shared" si="0"/>
        <v>1.1885588151927944</v>
      </c>
      <c r="C53" s="6">
        <f t="shared" si="1"/>
        <v>-1.3120292999284917</v>
      </c>
      <c r="D53" s="6">
        <f t="shared" si="2"/>
        <v>10.123470484735698</v>
      </c>
    </row>
    <row r="54" spans="1:4" x14ac:dyDescent="0.3">
      <c r="A54" s="7">
        <f t="shared" si="3"/>
        <v>1.1074798263594181E-2</v>
      </c>
      <c r="B54" s="6">
        <f t="shared" si="0"/>
        <v>0.996846057863644</v>
      </c>
      <c r="C54" s="6">
        <f t="shared" si="1"/>
        <v>-1.2060728713419149</v>
      </c>
      <c r="D54" s="6">
        <f t="shared" si="2"/>
        <v>10.209226813478271</v>
      </c>
    </row>
    <row r="55" spans="1:4" x14ac:dyDescent="0.3">
      <c r="A55" s="7">
        <f t="shared" ref="A55:A86" si="4">A54+$B$17</f>
        <v>1.14208857093315E-2</v>
      </c>
      <c r="B55" s="6">
        <f t="shared" si="0"/>
        <v>0.82115976412365621</v>
      </c>
      <c r="C55" s="6">
        <f t="shared" si="1"/>
        <v>-1.1017098191934753</v>
      </c>
      <c r="D55" s="6">
        <f t="shared" si="2"/>
        <v>10.280550055069819</v>
      </c>
    </row>
    <row r="56" spans="1:4" x14ac:dyDescent="0.3">
      <c r="A56" s="7">
        <f t="shared" si="4"/>
        <v>1.1766973155068819E-2</v>
      </c>
      <c r="B56" s="6">
        <f t="shared" si="0"/>
        <v>0.66118420990873683</v>
      </c>
      <c r="C56" s="6">
        <f t="shared" si="1"/>
        <v>-0.99987226621768244</v>
      </c>
      <c r="D56" s="6">
        <f t="shared" si="2"/>
        <v>10.338688056308946</v>
      </c>
    </row>
    <row r="57" spans="1:4" x14ac:dyDescent="0.3">
      <c r="A57" s="7">
        <f t="shared" si="4"/>
        <v>1.2113060600806138E-2</v>
      </c>
      <c r="B57" s="6">
        <f t="shared" si="0"/>
        <v>0.51647406511646399</v>
      </c>
      <c r="C57" s="6">
        <f t="shared" si="1"/>
        <v>-0.90133266897736419</v>
      </c>
      <c r="D57" s="6">
        <f t="shared" si="2"/>
        <v>10.3848586038609</v>
      </c>
    </row>
    <row r="58" spans="1:4" x14ac:dyDescent="0.3">
      <c r="A58" s="7">
        <f t="shared" si="4"/>
        <v>1.2459148046543456E-2</v>
      </c>
      <c r="B58" s="6">
        <f t="shared" si="0"/>
        <v>0.38647763844218852</v>
      </c>
      <c r="C58" s="6">
        <f t="shared" si="1"/>
        <v>-0.80671780577286434</v>
      </c>
      <c r="D58" s="6">
        <f t="shared" si="2"/>
        <v>10.420240167330675</v>
      </c>
    </row>
    <row r="59" spans="1:4" x14ac:dyDescent="0.3">
      <c r="A59" s="7">
        <f t="shared" si="4"/>
        <v>1.2805235492280775E-2</v>
      </c>
      <c r="B59" s="6">
        <f t="shared" si="0"/>
        <v>0.27055801820554293</v>
      </c>
      <c r="C59" s="6">
        <f t="shared" si="1"/>
        <v>-0.71652240404261924</v>
      </c>
      <c r="D59" s="6">
        <f t="shared" si="2"/>
        <v>10.445964385837076</v>
      </c>
    </row>
    <row r="60" spans="1:4" x14ac:dyDescent="0.3">
      <c r="A60" s="7">
        <f t="shared" si="4"/>
        <v>1.3151322938018094E-2</v>
      </c>
      <c r="B60" s="6">
        <f t="shared" si="0"/>
        <v>0.16801217194887016</v>
      </c>
      <c r="C60" s="6">
        <f t="shared" si="1"/>
        <v>-0.63112230707514883</v>
      </c>
      <c r="D60" s="6">
        <f t="shared" si="2"/>
        <v>10.463110135126279</v>
      </c>
    </row>
    <row r="61" spans="1:4" x14ac:dyDescent="0.3">
      <c r="A61" s="7">
        <f t="shared" si="4"/>
        <v>1.3497410383755412E-2</v>
      </c>
      <c r="B61" s="6">
        <f t="shared" si="0"/>
        <v>7.8088081354491634E-2</v>
      </c>
      <c r="C61" s="6">
        <f t="shared" si="1"/>
        <v>-0.55078709911128065</v>
      </c>
      <c r="D61" s="6">
        <f t="shared" si="2"/>
        <v>10.472699017756788</v>
      </c>
    </row>
    <row r="62" spans="1:4" x14ac:dyDescent="0.3">
      <c r="A62" s="7">
        <f t="shared" si="4"/>
        <v>1.3843497829492731E-2</v>
      </c>
      <c r="B62" s="6">
        <f t="shared" si="0"/>
        <v>-1.1157611438335524E-15</v>
      </c>
      <c r="C62" s="6">
        <f t="shared" si="1"/>
        <v>-0.47569212535094607</v>
      </c>
      <c r="D62" s="6">
        <f t="shared" si="2"/>
        <v>10.475692125350948</v>
      </c>
    </row>
    <row r="63" spans="1:4" x14ac:dyDescent="0.3">
      <c r="A63" s="7">
        <f t="shared" si="4"/>
        <v>1.418958527523005E-2</v>
      </c>
      <c r="B63" s="6">
        <f t="shared" si="0"/>
        <v>-6.7058070077220713E-2</v>
      </c>
      <c r="C63" s="6">
        <f t="shared" si="1"/>
        <v>-0.40592985905580647</v>
      </c>
      <c r="D63" s="6">
        <f t="shared" si="2"/>
        <v>10.472987929133026</v>
      </c>
    </row>
    <row r="64" spans="1:4" x14ac:dyDescent="0.3">
      <c r="A64" s="7">
        <f t="shared" si="4"/>
        <v>1.4535672720967369E-2</v>
      </c>
      <c r="B64" s="6">
        <f t="shared" si="0"/>
        <v>-0.12390058084102079</v>
      </c>
      <c r="C64" s="6">
        <f t="shared" si="1"/>
        <v>-0.34152058193123125</v>
      </c>
      <c r="D64" s="6">
        <f t="shared" si="2"/>
        <v>10.465421162772252</v>
      </c>
    </row>
    <row r="65" spans="1:4" x14ac:dyDescent="0.3">
      <c r="A65" s="7">
        <f t="shared" si="4"/>
        <v>1.4881760166704687E-2</v>
      </c>
      <c r="B65" s="6">
        <f t="shared" si="0"/>
        <v>-0.17134021339159095</v>
      </c>
      <c r="C65" s="6">
        <f t="shared" si="1"/>
        <v>-0.28242235636248303</v>
      </c>
      <c r="D65" s="6">
        <f t="shared" si="2"/>
        <v>10.453762569754074</v>
      </c>
    </row>
    <row r="66" spans="1:4" x14ac:dyDescent="0.3">
      <c r="A66" s="7">
        <f t="shared" si="4"/>
        <v>1.5227847612442006E-2</v>
      </c>
      <c r="B66" s="6">
        <f t="shared" si="0"/>
        <v>-0.21017911700738423</v>
      </c>
      <c r="C66" s="6">
        <f t="shared" si="1"/>
        <v>-0.22854027895797024</v>
      </c>
      <c r="D66" s="6">
        <f t="shared" si="2"/>
        <v>10.438719395965354</v>
      </c>
    </row>
    <row r="67" spans="1:4" x14ac:dyDescent="0.3">
      <c r="A67" s="7">
        <f t="shared" si="4"/>
        <v>1.5573935058179325E-2</v>
      </c>
      <c r="B67" s="6">
        <f t="shared" si="0"/>
        <v>-0.24120150245815478</v>
      </c>
      <c r="C67" s="6">
        <f t="shared" si="1"/>
        <v>-0.17973501431144179</v>
      </c>
      <c r="D67" s="6">
        <f t="shared" si="2"/>
        <v>10.420936516769597</v>
      </c>
    </row>
    <row r="68" spans="1:4" x14ac:dyDescent="0.3">
      <c r="A68" s="7">
        <f t="shared" si="4"/>
        <v>1.5920022503916643E-2</v>
      </c>
      <c r="B68" s="6">
        <f t="shared" si="0"/>
        <v>-0.26516748042323296</v>
      </c>
      <c r="C68" s="6">
        <f t="shared" si="1"/>
        <v>-0.13583061602950153</v>
      </c>
      <c r="D68" s="6">
        <f t="shared" si="2"/>
        <v>10.400998096452735</v>
      </c>
    </row>
    <row r="69" spans="1:4" x14ac:dyDescent="0.3">
      <c r="A69" s="7">
        <f t="shared" si="4"/>
        <v>1.626610994965396E-2</v>
      </c>
      <c r="B69" s="6">
        <f t="shared" si="0"/>
        <v>-0.28280803746308486</v>
      </c>
      <c r="C69" s="6">
        <f t="shared" si="1"/>
        <v>-9.6621648978539199E-2</v>
      </c>
      <c r="D69" s="6">
        <f t="shared" si="2"/>
        <v>10.379429686441624</v>
      </c>
    </row>
    <row r="70" spans="1:4" x14ac:dyDescent="0.3">
      <c r="A70" s="7">
        <f t="shared" si="4"/>
        <v>1.6612197395391277E-2</v>
      </c>
      <c r="B70" s="6">
        <f t="shared" si="0"/>
        <v>-0.29482104457069169</v>
      </c>
      <c r="C70" s="6">
        <f t="shared" si="1"/>
        <v>-6.1879632482128244E-2</v>
      </c>
      <c r="D70" s="6">
        <f t="shared" si="2"/>
        <v>10.356700677052819</v>
      </c>
    </row>
    <row r="71" spans="1:4" x14ac:dyDescent="0.3">
      <c r="A71" s="7">
        <f t="shared" si="4"/>
        <v>1.6958284841128594E-2</v>
      </c>
      <c r="B71" s="6">
        <f t="shared" si="0"/>
        <v>-0.30186819670753612</v>
      </c>
      <c r="C71" s="6">
        <f t="shared" si="1"/>
        <v>-3.1358828942533279E-2</v>
      </c>
      <c r="D71" s="6">
        <f t="shared" si="2"/>
        <v>10.33322702565007</v>
      </c>
    </row>
    <row r="72" spans="1:4" x14ac:dyDescent="0.3">
      <c r="A72" s="7">
        <f t="shared" si="4"/>
        <v>1.7304372286865911E-2</v>
      </c>
      <c r="B72" s="6">
        <f t="shared" si="0"/>
        <v>-0.30457278575653735</v>
      </c>
      <c r="C72" s="6">
        <f t="shared" si="1"/>
        <v>-4.8014061607624114E-3</v>
      </c>
      <c r="D72" s="6">
        <f t="shared" si="2"/>
        <v>10.3093741919173</v>
      </c>
    </row>
    <row r="73" spans="1:4" x14ac:dyDescent="0.3">
      <c r="A73" s="7">
        <f t="shared" si="4"/>
        <v>1.7650459732603228E-2</v>
      </c>
      <c r="B73" s="6">
        <f t="shared" si="0"/>
        <v>-0.3035182138647759</v>
      </c>
      <c r="C73" s="6">
        <f t="shared" si="1"/>
        <v>1.80579954194382E-2</v>
      </c>
      <c r="D73" s="6">
        <f t="shared" si="2"/>
        <v>10.285460218445337</v>
      </c>
    </row>
    <row r="74" spans="1:4" x14ac:dyDescent="0.3">
      <c r="A74" s="7">
        <f t="shared" si="4"/>
        <v>1.7996547178340545E-2</v>
      </c>
      <c r="B74" s="6">
        <f t="shared" si="0"/>
        <v>-0.29924715907950761</v>
      </c>
      <c r="C74" s="6">
        <f t="shared" si="1"/>
        <v>3.7488257130780411E-2</v>
      </c>
      <c r="D74" s="6">
        <f t="shared" si="2"/>
        <v>10.261758901948728</v>
      </c>
    </row>
    <row r="75" spans="1:4" x14ac:dyDescent="0.3">
      <c r="A75" s="7">
        <f t="shared" si="4"/>
        <v>1.8342634624077862E-2</v>
      </c>
      <c r="B75" s="6">
        <f t="shared" si="0"/>
        <v>-0.2922613103919684</v>
      </c>
      <c r="C75" s="6">
        <f t="shared" si="1"/>
        <v>5.37583032436455E-2</v>
      </c>
      <c r="D75" s="6">
        <f t="shared" si="2"/>
        <v>10.238503007148323</v>
      </c>
    </row>
    <row r="76" spans="1:4" x14ac:dyDescent="0.3">
      <c r="A76" s="7">
        <f t="shared" si="4"/>
        <v>1.8688722069815179E-2</v>
      </c>
      <c r="B76" s="6">
        <f t="shared" si="0"/>
        <v>-0.28302159469747545</v>
      </c>
      <c r="C76" s="6">
        <f t="shared" si="1"/>
        <v>6.7134113040294707E-2</v>
      </c>
      <c r="D76" s="6">
        <f t="shared" si="2"/>
        <v>10.21588748165718</v>
      </c>
    </row>
    <row r="77" spans="1:4" x14ac:dyDescent="0.3">
      <c r="A77" s="7">
        <f t="shared" si="4"/>
        <v>1.9034809515552496E-2</v>
      </c>
      <c r="B77" s="6">
        <f t="shared" si="0"/>
        <v>-0.27194882367164935</v>
      </c>
      <c r="C77" s="6">
        <f t="shared" si="1"/>
        <v>7.7876187590623758E-2</v>
      </c>
      <c r="D77" s="6">
        <f t="shared" si="2"/>
        <v>10.194072636081026</v>
      </c>
    </row>
    <row r="78" spans="1:4" x14ac:dyDescent="0.3">
      <c r="A78" s="7">
        <f t="shared" si="4"/>
        <v>1.9380896961289813E-2</v>
      </c>
      <c r="B78" s="6">
        <f t="shared" si="0"/>
        <v>-0.25942469407659952</v>
      </c>
      <c r="C78" s="6">
        <f t="shared" si="1"/>
        <v>8.6237435091060632E-2</v>
      </c>
      <c r="D78" s="6">
        <f t="shared" si="2"/>
        <v>10.173187258985539</v>
      </c>
    </row>
    <row r="79" spans="1:4" x14ac:dyDescent="0.3">
      <c r="A79" s="7">
        <f t="shared" si="4"/>
        <v>1.972698440702713E-2</v>
      </c>
      <c r="B79" s="6">
        <f t="shared" si="0"/>
        <v>-0.24579308048327006</v>
      </c>
      <c r="C79" s="6">
        <f t="shared" si="1"/>
        <v>9.246143909188298E-2</v>
      </c>
      <c r="D79" s="6">
        <f t="shared" si="2"/>
        <v>10.153331641391388</v>
      </c>
    </row>
    <row r="80" spans="1:4" x14ac:dyDescent="0.3">
      <c r="A80" s="7">
        <f t="shared" si="4"/>
        <v>2.0073071852764447E-2</v>
      </c>
      <c r="B80" s="6">
        <f t="shared" si="0"/>
        <v>-0.23136156477206535</v>
      </c>
      <c r="C80" s="6">
        <f t="shared" si="1"/>
        <v>9.6781074731577377E-2</v>
      </c>
      <c r="D80" s="6">
        <f t="shared" si="2"/>
        <v>10.134580490040488</v>
      </c>
    </row>
    <row r="81" spans="1:4" x14ac:dyDescent="0.3">
      <c r="A81" s="7">
        <f t="shared" si="4"/>
        <v>2.0419159298501764E-2</v>
      </c>
      <c r="B81" s="6">
        <f t="shared" si="0"/>
        <v>-0.21640315200734192</v>
      </c>
      <c r="C81" s="6">
        <f t="shared" si="1"/>
        <v>9.9417439165380372E-2</v>
      </c>
      <c r="D81" s="6">
        <f t="shared" si="2"/>
        <v>10.116985712841961</v>
      </c>
    </row>
    <row r="82" spans="1:4" x14ac:dyDescent="0.3">
      <c r="A82" s="7">
        <f t="shared" si="4"/>
        <v>2.0765246744239081E-2</v>
      </c>
      <c r="B82" s="6">
        <f t="shared" si="0"/>
        <v>-0.2011581273344942</v>
      </c>
      <c r="C82" s="6">
        <f t="shared" si="1"/>
        <v>0.10057906366724723</v>
      </c>
      <c r="D82" s="6">
        <f t="shared" si="2"/>
        <v>10.100579063667247</v>
      </c>
    </row>
    <row r="83" spans="1:4" x14ac:dyDescent="0.3">
      <c r="A83" s="7">
        <f t="shared" si="4"/>
        <v>2.1111334189976398E-2</v>
      </c>
      <c r="B83" s="6">
        <f t="shared" si="0"/>
        <v>-0.1858360133905971</v>
      </c>
      <c r="C83" s="6">
        <f t="shared" si="1"/>
        <v>0.10046137635495</v>
      </c>
      <c r="D83" s="6">
        <f t="shared" si="2"/>
        <v>10.085374637035647</v>
      </c>
    </row>
    <row r="84" spans="1:4" x14ac:dyDescent="0.3">
      <c r="A84" s="7">
        <f t="shared" si="4"/>
        <v>2.1457421635713715E-2</v>
      </c>
      <c r="B84" s="6">
        <f t="shared" si="0"/>
        <v>-0.17061759232699847</v>
      </c>
      <c r="C84" s="6">
        <f t="shared" si="1"/>
        <v>9.9246386094929306E-2</v>
      </c>
      <c r="D84" s="6">
        <f t="shared" si="2"/>
        <v>10.071371206232069</v>
      </c>
    </row>
    <row r="85" spans="1:4" x14ac:dyDescent="0.3">
      <c r="A85" s="7">
        <f t="shared" si="4"/>
        <v>2.1803509081451032E-2</v>
      </c>
      <c r="B85" s="6">
        <f t="shared" si="0"/>
        <v>-0.15565696089696179</v>
      </c>
      <c r="C85" s="6">
        <f t="shared" si="1"/>
        <v>9.7102559849933101E-2</v>
      </c>
      <c r="D85" s="6">
        <f t="shared" si="2"/>
        <v>10.058554401047029</v>
      </c>
    </row>
    <row r="86" spans="1:4" x14ac:dyDescent="0.3">
      <c r="A86" s="7">
        <f t="shared" si="4"/>
        <v>2.2149596527188349E-2</v>
      </c>
      <c r="B86" s="6">
        <f t="shared" ref="B86:B149" si="5">(($B$8/($B$6*$B$13))*EXP(-$B$11*A86)*SIN($B$13*A86))*$B$5</f>
        <v>-0.14108359115086694</v>
      </c>
      <c r="C86" s="6">
        <f t="shared" ref="C86:C149" si="6">$B$8-B86-D86</f>
        <v>9.4184867505482828E-2</v>
      </c>
      <c r="D86" s="6">
        <f t="shared" ref="D86:D149" si="7">$B$8*(1-EXP(-$B$11*A86)*(COS($B$13*A86)+($B$11/$B$13)*SIN($B$13*A86)))</f>
        <v>10.046898723645384</v>
      </c>
    </row>
    <row r="87" spans="1:4" x14ac:dyDescent="0.3">
      <c r="A87" s="7">
        <f t="shared" ref="A87:A118" si="8">A86+$B$17</f>
        <v>2.2495683972925666E-2</v>
      </c>
      <c r="B87" s="6">
        <f t="shared" si="5"/>
        <v>-0.12700437309768522</v>
      </c>
      <c r="C87" s="6">
        <f t="shared" si="6"/>
        <v>9.0634970021588046E-2</v>
      </c>
      <c r="D87" s="6">
        <f t="shared" si="7"/>
        <v>10.036369403076097</v>
      </c>
    </row>
    <row r="88" spans="1:4" x14ac:dyDescent="0.3">
      <c r="A88" s="7">
        <f t="shared" si="8"/>
        <v>2.2841771418662983E-2</v>
      </c>
      <c r="B88" s="6">
        <f t="shared" si="5"/>
        <v>-0.11350561923076474</v>
      </c>
      <c r="C88" s="6">
        <f t="shared" si="6"/>
        <v>8.6581528578628664E-2</v>
      </c>
      <c r="D88" s="6">
        <f t="shared" si="7"/>
        <v>10.026924090652136</v>
      </c>
    </row>
    <row r="89" spans="1:4" x14ac:dyDescent="0.3">
      <c r="A89" s="7">
        <f t="shared" si="8"/>
        <v>2.31878588644003E-2</v>
      </c>
      <c r="B89" s="6">
        <f t="shared" si="5"/>
        <v>-0.1006550140782297</v>
      </c>
      <c r="C89" s="6">
        <f t="shared" si="6"/>
        <v>8.2140614199046169E-2</v>
      </c>
      <c r="D89" s="6">
        <f t="shared" si="7"/>
        <v>10.018514399879184</v>
      </c>
    </row>
    <row r="90" spans="1:4" x14ac:dyDescent="0.3">
      <c r="A90" s="7">
        <f t="shared" si="8"/>
        <v>2.3533946310137617E-2</v>
      </c>
      <c r="B90" s="6">
        <f t="shared" si="5"/>
        <v>-8.8503494926496187E-2</v>
      </c>
      <c r="C90" s="6">
        <f t="shared" si="6"/>
        <v>7.7416199110611927E-2</v>
      </c>
      <c r="D90" s="6">
        <f t="shared" si="7"/>
        <v>10.011087295815884</v>
      </c>
    </row>
    <row r="91" spans="1:4" x14ac:dyDescent="0.3">
      <c r="A91" s="7">
        <f t="shared" si="8"/>
        <v>2.3880033755874934E-2</v>
      </c>
      <c r="B91" s="6">
        <f t="shared" si="5"/>
        <v>-7.7087052585101484E-2</v>
      </c>
      <c r="C91" s="6">
        <f t="shared" si="6"/>
        <v>7.2500712856902183E-2</v>
      </c>
      <c r="D91" s="6">
        <f t="shared" si="7"/>
        <v>10.004586339728199</v>
      </c>
    </row>
    <row r="92" spans="1:4" x14ac:dyDescent="0.3">
      <c r="A92" s="7">
        <f t="shared" si="8"/>
        <v>2.4226121201612251E-2</v>
      </c>
      <c r="B92" s="6">
        <f t="shared" si="5"/>
        <v>-6.6428443520010511E-2</v>
      </c>
      <c r="C92" s="6">
        <f t="shared" si="6"/>
        <v>6.7475647843188824E-2</v>
      </c>
      <c r="D92" s="6">
        <f t="shared" si="7"/>
        <v>9.9989527956768214</v>
      </c>
    </row>
    <row r="93" spans="1:4" x14ac:dyDescent="0.3">
      <c r="A93" s="7">
        <f t="shared" si="8"/>
        <v>2.4572208647349568E-2</v>
      </c>
      <c r="B93" s="6">
        <f t="shared" si="5"/>
        <v>-5.6538806890367006E-2</v>
      </c>
      <c r="C93" s="6">
        <f t="shared" si="6"/>
        <v>6.2412200620570957E-2</v>
      </c>
      <c r="D93" s="6">
        <f t="shared" si="7"/>
        <v>9.9941266062697967</v>
      </c>
    </row>
    <row r="94" spans="1:4" x14ac:dyDescent="0.3">
      <c r="A94" s="7">
        <f t="shared" si="8"/>
        <v>2.4918296093086885E-2</v>
      </c>
      <c r="B94" s="6">
        <f t="shared" si="5"/>
        <v>-4.7419181991287682E-2</v>
      </c>
      <c r="C94" s="6">
        <f t="shared" si="6"/>
        <v>5.7371936749676777E-2</v>
      </c>
      <c r="D94" s="6">
        <f t="shared" si="7"/>
        <v>9.9900472452416107</v>
      </c>
    </row>
    <row r="95" spans="1:4" x14ac:dyDescent="0.3">
      <c r="A95" s="7">
        <f t="shared" si="8"/>
        <v>2.5264383538824202E-2</v>
      </c>
      <c r="B95" s="6">
        <f t="shared" si="5"/>
        <v>-3.9061923344867078E-2</v>
      </c>
      <c r="C95" s="6">
        <f t="shared" si="6"/>
        <v>5.2407468541215252E-2</v>
      </c>
      <c r="D95" s="6">
        <f t="shared" si="7"/>
        <v>9.9866544548036522</v>
      </c>
    </row>
    <row r="96" spans="1:4" x14ac:dyDescent="0.3">
      <c r="A96" s="7">
        <f t="shared" si="8"/>
        <v>2.5610470984561519E-2</v>
      </c>
      <c r="B96" s="6">
        <f t="shared" si="5"/>
        <v>-3.145201220599797E-2</v>
      </c>
      <c r="C96" s="6">
        <f t="shared" si="6"/>
        <v>4.7563136339656253E-2</v>
      </c>
      <c r="D96" s="6">
        <f t="shared" si="7"/>
        <v>9.9838888758663416</v>
      </c>
    </row>
    <row r="97" spans="1:4" x14ac:dyDescent="0.3">
      <c r="A97" s="7">
        <f t="shared" si="8"/>
        <v>2.5956558430298836E-2</v>
      </c>
      <c r="B97" s="6">
        <f t="shared" si="5"/>
        <v>-2.4568264572390017E-2</v>
      </c>
      <c r="C97" s="6">
        <f t="shared" si="6"/>
        <v>4.2875685295408417E-2</v>
      </c>
      <c r="D97" s="6">
        <f t="shared" si="7"/>
        <v>9.9816925792769808</v>
      </c>
    </row>
    <row r="98" spans="1:4" x14ac:dyDescent="0.3">
      <c r="A98" s="7">
        <f t="shared" si="8"/>
        <v>2.6302645876036153E-2</v>
      </c>
      <c r="B98" s="6">
        <f t="shared" si="5"/>
        <v>-1.8384436923118475E-2</v>
      </c>
      <c r="C98" s="6">
        <f t="shared" si="6"/>
        <v>3.8374930758655168E-2</v>
      </c>
      <c r="D98" s="6">
        <f t="shared" si="7"/>
        <v>9.980009506164464</v>
      </c>
    </row>
    <row r="99" spans="1:4" x14ac:dyDescent="0.3">
      <c r="A99" s="7">
        <f t="shared" si="8"/>
        <v>2.664873332177347E-2</v>
      </c>
      <c r="B99" s="6">
        <f t="shared" si="5"/>
        <v>-1.2870231871093967E-2</v>
      </c>
      <c r="C99" s="6">
        <f t="shared" si="6"/>
        <v>3.408440652406064E-2</v>
      </c>
      <c r="D99" s="6">
        <f t="shared" si="7"/>
        <v>9.9787858253470336</v>
      </c>
    </row>
    <row r="100" spans="1:4" x14ac:dyDescent="0.3">
      <c r="A100" s="7">
        <f t="shared" si="8"/>
        <v>2.6994820767510787E-2</v>
      </c>
      <c r="B100" s="6">
        <f t="shared" si="5"/>
        <v>-7.9922067159191434E-3</v>
      </c>
      <c r="C100" s="6">
        <f t="shared" si="6"/>
        <v>3.0021991160896988E-2</v>
      </c>
      <c r="D100" s="6">
        <f t="shared" si="7"/>
        <v>9.9779702155550218</v>
      </c>
    </row>
    <row r="101" spans="1:4" x14ac:dyDescent="0.3">
      <c r="A101" s="7">
        <f t="shared" si="8"/>
        <v>2.7340908213248104E-2</v>
      </c>
      <c r="B101" s="6">
        <f t="shared" si="5"/>
        <v>-3.7145885384099976E-3</v>
      </c>
      <c r="C101" s="6">
        <f t="shared" si="6"/>
        <v>2.6200508579213633E-2</v>
      </c>
      <c r="D101" s="6">
        <f t="shared" si="7"/>
        <v>9.9775140799591959</v>
      </c>
    </row>
    <row r="102" spans="1:4" x14ac:dyDescent="0.3">
      <c r="A102" s="7">
        <f t="shared" si="8"/>
        <v>2.7686995658985421E-2</v>
      </c>
      <c r="B102" s="6">
        <f t="shared" si="5"/>
        <v>-2.8352166080707493E-16</v>
      </c>
      <c r="C102" s="6">
        <f t="shared" si="6"/>
        <v>2.2628299812089026E-2</v>
      </c>
      <c r="D102" s="6">
        <f t="shared" si="7"/>
        <v>9.977371700187911</v>
      </c>
    </row>
    <row r="103" spans="1:4" x14ac:dyDescent="0.3">
      <c r="A103" s="7">
        <f t="shared" si="8"/>
        <v>2.8033083104722738E-2</v>
      </c>
      <c r="B103" s="6">
        <f t="shared" si="5"/>
        <v>3.1898995876962905E-3</v>
      </c>
      <c r="C103" s="6">
        <f t="shared" si="6"/>
        <v>1.9309763739768115E-2</v>
      </c>
      <c r="D103" s="6">
        <f t="shared" si="7"/>
        <v>9.9775003366725361</v>
      </c>
    </row>
    <row r="104" spans="1:4" x14ac:dyDescent="0.3">
      <c r="A104" s="7">
        <f t="shared" si="8"/>
        <v>2.8379170550460055E-2</v>
      </c>
      <c r="B104" s="6">
        <f t="shared" si="5"/>
        <v>5.8938530632479304E-3</v>
      </c>
      <c r="C104" s="6">
        <f t="shared" si="6"/>
        <v>1.6245865146997218E-2</v>
      </c>
      <c r="D104" s="6">
        <f t="shared" si="7"/>
        <v>9.9778602817897557</v>
      </c>
    </row>
    <row r="105" spans="1:4" x14ac:dyDescent="0.3">
      <c r="A105" s="7">
        <f t="shared" si="8"/>
        <v>2.8725257996197372E-2</v>
      </c>
      <c r="B105" s="6">
        <f t="shared" si="5"/>
        <v>8.1505190266328419E-3</v>
      </c>
      <c r="C105" s="6">
        <f t="shared" si="6"/>
        <v>1.3434609094471028E-2</v>
      </c>
      <c r="D105" s="6">
        <f t="shared" si="7"/>
        <v>9.978414871878897</v>
      </c>
    </row>
    <row r="106" spans="1:4" x14ac:dyDescent="0.3">
      <c r="A106" s="7">
        <f t="shared" si="8"/>
        <v>2.9071345441934689E-2</v>
      </c>
      <c r="B106" s="6">
        <f t="shared" si="5"/>
        <v>9.9980550873626107E-3</v>
      </c>
      <c r="C106" s="6">
        <f t="shared" si="6"/>
        <v>1.0871481102583402E-2</v>
      </c>
      <c r="D106" s="6">
        <f t="shared" si="7"/>
        <v>9.9791304638100549</v>
      </c>
    </row>
    <row r="107" spans="1:4" x14ac:dyDescent="0.3">
      <c r="A107" s="7">
        <f t="shared" si="8"/>
        <v>2.9417432887672006E-2</v>
      </c>
      <c r="B107" s="6">
        <f t="shared" si="5"/>
        <v>1.1473765534215998E-2</v>
      </c>
      <c r="C107" s="6">
        <f t="shared" si="6"/>
        <v>8.5498530957792696E-3</v>
      </c>
      <c r="D107" s="6">
        <f t="shared" si="7"/>
        <v>9.9799763813700046</v>
      </c>
    </row>
    <row r="108" spans="1:4" x14ac:dyDescent="0.3">
      <c r="A108" s="7">
        <f t="shared" si="8"/>
        <v>2.9763520333409323E-2</v>
      </c>
      <c r="B108" s="6">
        <f t="shared" si="5"/>
        <v>1.261380823364824E-2</v>
      </c>
      <c r="C108" s="6">
        <f t="shared" si="6"/>
        <v>6.4613554426795616E-3</v>
      </c>
      <c r="D108" s="6">
        <f t="shared" si="7"/>
        <v>9.9809248363236716</v>
      </c>
    </row>
    <row r="109" spans="1:4" x14ac:dyDescent="0.3">
      <c r="A109" s="7">
        <f t="shared" si="8"/>
        <v>3.010960777914664E-2</v>
      </c>
      <c r="B109" s="6">
        <f t="shared" si="5"/>
        <v>1.3452955640714446E-2</v>
      </c>
      <c r="C109" s="6">
        <f t="shared" si="6"/>
        <v>4.5962157557521977E-3</v>
      </c>
      <c r="D109" s="6">
        <f t="shared" si="7"/>
        <v>9.9819508286035337</v>
      </c>
    </row>
    <row r="110" spans="1:4" x14ac:dyDescent="0.3">
      <c r="A110" s="7">
        <f t="shared" si="8"/>
        <v>3.0455695224883957E-2</v>
      </c>
      <c r="B110" s="6">
        <f t="shared" si="5"/>
        <v>1.4024404929001828E-2</v>
      </c>
      <c r="C110" s="6">
        <f t="shared" si="6"/>
        <v>2.9435653891365376E-3</v>
      </c>
      <c r="D110" s="6">
        <f t="shared" si="7"/>
        <v>9.983032029681862</v>
      </c>
    </row>
    <row r="111" spans="1:4" x14ac:dyDescent="0.3">
      <c r="A111" s="7">
        <f t="shared" si="8"/>
        <v>3.0801782670621274E-2</v>
      </c>
      <c r="B111" s="6">
        <f t="shared" si="5"/>
        <v>1.4359632406766562E-2</v>
      </c>
      <c r="C111" s="6">
        <f t="shared" si="6"/>
        <v>1.4917147988189328E-3</v>
      </c>
      <c r="D111" s="6">
        <f t="shared" si="7"/>
        <v>9.9841486527944152</v>
      </c>
    </row>
    <row r="112" spans="1:4" x14ac:dyDescent="0.3">
      <c r="A112" s="7">
        <f t="shared" si="8"/>
        <v>3.1147870116358591E-2</v>
      </c>
      <c r="B112" s="6">
        <f t="shared" si="5"/>
        <v>1.448828757805861E-2</v>
      </c>
      <c r="C112" s="6">
        <f t="shared" si="6"/>
        <v>2.2839911012795255E-4</v>
      </c>
      <c r="D112" s="6">
        <f t="shared" si="7"/>
        <v>9.9852833133118128</v>
      </c>
    </row>
    <row r="113" spans="1:4" x14ac:dyDescent="0.3">
      <c r="A113" s="7">
        <f t="shared" si="8"/>
        <v>3.1493957562095908E-2</v>
      </c>
      <c r="B113" s="6">
        <f t="shared" si="5"/>
        <v>1.4438122423605898E-2</v>
      </c>
      <c r="C113" s="6">
        <f t="shared" si="6"/>
        <v>-8.5900462206467409E-4</v>
      </c>
      <c r="D113" s="6">
        <f t="shared" si="7"/>
        <v>9.986420882198459</v>
      </c>
    </row>
    <row r="114" spans="1:4" x14ac:dyDescent="0.3">
      <c r="A114" s="7">
        <f t="shared" si="8"/>
        <v>3.1840045007833224E-2</v>
      </c>
      <c r="B114" s="6">
        <f t="shared" si="5"/>
        <v>1.4234951710776461E-2</v>
      </c>
      <c r="C114" s="6">
        <f t="shared" si="6"/>
        <v>-1.7832868710243588E-3</v>
      </c>
      <c r="D114" s="6">
        <f t="shared" si="7"/>
        <v>9.9875483351602483</v>
      </c>
    </row>
    <row r="115" spans="1:4" x14ac:dyDescent="0.3">
      <c r="A115" s="7">
        <f t="shared" si="8"/>
        <v>3.2186132453570541E-2</v>
      </c>
      <c r="B115" s="6">
        <f t="shared" si="5"/>
        <v>1.3902640389820899E-2</v>
      </c>
      <c r="C115" s="6">
        <f t="shared" si="6"/>
        <v>-2.5572401525231214E-3</v>
      </c>
      <c r="D115" s="6">
        <f t="shared" si="7"/>
        <v>9.9886545997627021</v>
      </c>
    </row>
    <row r="116" spans="1:4" x14ac:dyDescent="0.3">
      <c r="A116" s="7">
        <f t="shared" si="8"/>
        <v>3.2532219899307858E-2</v>
      </c>
      <c r="B116" s="6">
        <f t="shared" si="5"/>
        <v>1.3463114390185734E-2</v>
      </c>
      <c r="C116" s="6">
        <f t="shared" si="6"/>
        <v>-3.1935168915691037E-3</v>
      </c>
      <c r="D116" s="6">
        <f t="shared" si="7"/>
        <v>9.9897304025013831</v>
      </c>
    </row>
    <row r="117" spans="1:4" x14ac:dyDescent="0.3">
      <c r="A117" s="7">
        <f t="shared" si="8"/>
        <v>3.2878307345045175E-2</v>
      </c>
      <c r="B117" s="6">
        <f t="shared" si="5"/>
        <v>1.2936391391905798E-2</v>
      </c>
      <c r="C117" s="6">
        <f t="shared" si="6"/>
        <v>-3.7045089189202685E-3</v>
      </c>
      <c r="D117" s="6">
        <f t="shared" si="7"/>
        <v>9.9907681175270149</v>
      </c>
    </row>
    <row r="118" spans="1:4" x14ac:dyDescent="0.3">
      <c r="A118" s="7">
        <f t="shared" si="8"/>
        <v>3.3224394790782492E-2</v>
      </c>
      <c r="B118" s="6">
        <f t="shared" si="5"/>
        <v>1.2340628409381799E-2</v>
      </c>
      <c r="C118" s="6">
        <f t="shared" si="6"/>
        <v>-4.1022468783271648E-3</v>
      </c>
      <c r="D118" s="6">
        <f t="shared" si="7"/>
        <v>9.9917616184689457</v>
      </c>
    </row>
    <row r="119" spans="1:4" x14ac:dyDescent="0.3">
      <c r="A119" s="7">
        <f t="shared" ref="A119:A150" si="9">A118+$B$17</f>
        <v>3.3570482236519809E-2</v>
      </c>
      <c r="B119" s="6">
        <f t="shared" si="5"/>
        <v>1.1692183285164422E-2</v>
      </c>
      <c r="C119" s="6">
        <f t="shared" si="6"/>
        <v>-4.398317847462252E-3</v>
      </c>
      <c r="D119" s="6">
        <f t="shared" si="7"/>
        <v>9.9927061345622974</v>
      </c>
    </row>
    <row r="120" spans="1:4" x14ac:dyDescent="0.3">
      <c r="A120" s="7">
        <f t="shared" si="9"/>
        <v>3.3916569682257126E-2</v>
      </c>
      <c r="B120" s="6">
        <f t="shared" si="5"/>
        <v>1.100568744709458E-2</v>
      </c>
      <c r="C120" s="6">
        <f t="shared" si="6"/>
        <v>-4.6037995132799381E-3</v>
      </c>
      <c r="D120" s="6">
        <f t="shared" si="7"/>
        <v>9.9935981120661861</v>
      </c>
    </row>
    <row r="121" spans="1:4" x14ac:dyDescent="0.3">
      <c r="A121" s="7">
        <f t="shared" si="9"/>
        <v>3.4262657127994443E-2</v>
      </c>
      <c r="B121" s="6">
        <f t="shared" si="5"/>
        <v>1.0294127531101779E-2</v>
      </c>
      <c r="C121" s="6">
        <f t="shared" si="6"/>
        <v>-4.7292092933535201E-3</v>
      </c>
      <c r="D121" s="6">
        <f t="shared" si="7"/>
        <v>9.9944350817622514</v>
      </c>
    </row>
    <row r="122" spans="1:4" x14ac:dyDescent="0.3">
      <c r="A122" s="7">
        <f t="shared" si="9"/>
        <v>3.460874457373176E-2</v>
      </c>
      <c r="B122" s="6">
        <f t="shared" si="5"/>
        <v>9.5689337123363114E-3</v>
      </c>
      <c r="C122" s="6">
        <f t="shared" si="6"/>
        <v>-4.7844668561669579E-3</v>
      </c>
      <c r="D122" s="6">
        <f t="shared" si="7"/>
        <v>9.9952155331438313</v>
      </c>
    </row>
    <row r="123" spans="1:4" x14ac:dyDescent="0.3">
      <c r="A123" s="7">
        <f t="shared" si="9"/>
        <v>3.4954832019469077E-2</v>
      </c>
      <c r="B123" s="6">
        <f t="shared" si="5"/>
        <v>8.8400728176521413E-3</v>
      </c>
      <c r="C123" s="6">
        <f t="shared" si="6"/>
        <v>-4.7788685633953776E-3</v>
      </c>
      <c r="D123" s="6">
        <f t="shared" si="7"/>
        <v>9.9959387957457437</v>
      </c>
    </row>
    <row r="124" spans="1:4" x14ac:dyDescent="0.3">
      <c r="A124" s="7">
        <f t="shared" si="9"/>
        <v>3.5300919465206394E-2</v>
      </c>
      <c r="B124" s="6">
        <f t="shared" si="5"/>
        <v>8.1161445116292516E-3</v>
      </c>
      <c r="C124" s="6">
        <f t="shared" si="6"/>
        <v>-4.7210724334885157E-3</v>
      </c>
      <c r="D124" s="6">
        <f t="shared" si="7"/>
        <v>9.9966049279218598</v>
      </c>
    </row>
    <row r="125" spans="1:4" x14ac:dyDescent="0.3">
      <c r="A125" s="7">
        <f t="shared" si="9"/>
        <v>3.5647006910943711E-2</v>
      </c>
      <c r="B125" s="6">
        <f t="shared" si="5"/>
        <v>7.4044790554746113E-3</v>
      </c>
      <c r="C125" s="6">
        <f t="shared" si="6"/>
        <v>-4.6190923072035872E-3</v>
      </c>
      <c r="D125" s="6">
        <f t="shared" si="7"/>
        <v>9.9972146132517281</v>
      </c>
    </row>
    <row r="126" spans="1:4" x14ac:dyDescent="0.3">
      <c r="A126" s="7">
        <f t="shared" si="9"/>
        <v>3.5993094356681028E-2</v>
      </c>
      <c r="B126" s="6">
        <f t="shared" si="5"/>
        <v>6.7112353326700992E-3</v>
      </c>
      <c r="C126" s="6">
        <f t="shared" si="6"/>
        <v>-4.4802999799582466E-3</v>
      </c>
      <c r="D126" s="6">
        <f t="shared" si="7"/>
        <v>9.9977690646472883</v>
      </c>
    </row>
    <row r="127" spans="1:4" x14ac:dyDescent="0.3">
      <c r="A127" s="7">
        <f t="shared" si="9"/>
        <v>3.6339181802418345E-2</v>
      </c>
      <c r="B127" s="6">
        <f t="shared" si="5"/>
        <v>6.041498016770357E-3</v>
      </c>
      <c r="C127" s="6">
        <f t="shared" si="6"/>
        <v>-4.3114341520702482E-3</v>
      </c>
      <c r="D127" s="6">
        <f t="shared" si="7"/>
        <v>9.9982699361352996</v>
      </c>
    </row>
    <row r="128" spans="1:4" x14ac:dyDescent="0.3">
      <c r="A128" s="7">
        <f t="shared" si="9"/>
        <v>3.6685269248155662E-2</v>
      </c>
      <c r="B128" s="6">
        <f t="shared" si="5"/>
        <v>5.3993729251158801E-3</v>
      </c>
      <c r="C128" s="6">
        <f t="shared" si="6"/>
        <v>-4.1186151345691258E-3</v>
      </c>
      <c r="D128" s="6">
        <f t="shared" si="7"/>
        <v>9.9987192422094537</v>
      </c>
    </row>
    <row r="129" spans="1:4" x14ac:dyDescent="0.3">
      <c r="A129" s="7">
        <f t="shared" si="9"/>
        <v>3.7031356693892979E-2</v>
      </c>
      <c r="B129" s="6">
        <f t="shared" si="5"/>
        <v>4.7880797574103495E-3</v>
      </c>
      <c r="C129" s="6">
        <f t="shared" si="6"/>
        <v>-3.9073643345979292E-3</v>
      </c>
      <c r="D129" s="6">
        <f t="shared" si="7"/>
        <v>9.999119284577187</v>
      </c>
    </row>
    <row r="130" spans="1:4" x14ac:dyDescent="0.3">
      <c r="A130" s="7">
        <f t="shared" si="9"/>
        <v>3.7377444139630296E-2</v>
      </c>
      <c r="B130" s="6">
        <f t="shared" si="5"/>
        <v>4.2100415602572567E-3</v>
      </c>
      <c r="C130" s="6">
        <f t="shared" si="6"/>
        <v>-3.6826276291535009E-3</v>
      </c>
      <c r="D130" s="6">
        <f t="shared" si="7"/>
        <v>9.9994725860688956</v>
      </c>
    </row>
    <row r="131" spans="1:4" x14ac:dyDescent="0.3">
      <c r="A131" s="7">
        <f t="shared" si="9"/>
        <v>3.7723531585367613E-2</v>
      </c>
      <c r="B131" s="6">
        <f t="shared" si="5"/>
        <v>3.6669703881247891E-3</v>
      </c>
      <c r="C131" s="6">
        <f t="shared" si="6"/>
        <v>-3.4488018188358893E-3</v>
      </c>
      <c r="D131" s="6">
        <f t="shared" si="7"/>
        <v>9.9997818314307114</v>
      </c>
    </row>
    <row r="132" spans="1:4" x14ac:dyDescent="0.3">
      <c r="A132" s="7">
        <f t="shared" si="9"/>
        <v>3.806961903110493E-2</v>
      </c>
      <c r="B132" s="6">
        <f t="shared" si="5"/>
        <v>3.1599487481789867E-3</v>
      </c>
      <c r="C132" s="6">
        <f t="shared" si="6"/>
        <v>-3.2097634331957892E-3</v>
      </c>
      <c r="D132" s="6">
        <f t="shared" si="7"/>
        <v>10.000049814685017</v>
      </c>
    </row>
    <row r="133" spans="1:4" x14ac:dyDescent="0.3">
      <c r="A133" s="7">
        <f t="shared" si="9"/>
        <v>3.8415706476842247E-2</v>
      </c>
      <c r="B133" s="6">
        <f t="shared" si="5"/>
        <v>2.6895065214486143E-3</v>
      </c>
      <c r="C133" s="6">
        <f t="shared" si="6"/>
        <v>-2.9688992361034394E-3</v>
      </c>
      <c r="D133" s="6">
        <f t="shared" si="7"/>
        <v>10.000279392714654</v>
      </c>
    </row>
    <row r="134" spans="1:4" x14ac:dyDescent="0.3">
      <c r="A134" s="7">
        <f t="shared" si="9"/>
        <v>3.8761793922579564E-2</v>
      </c>
      <c r="B134" s="6">
        <f t="shared" si="5"/>
        <v>2.2556931463839584E-3</v>
      </c>
      <c r="C134" s="6">
        <f t="shared" si="6"/>
        <v>-2.7291378527962706E-3</v>
      </c>
      <c r="D134" s="6">
        <f t="shared" si="7"/>
        <v>10.000473444706412</v>
      </c>
    </row>
    <row r="135" spans="1:4" x14ac:dyDescent="0.3">
      <c r="A135" s="7">
        <f t="shared" si="9"/>
        <v>3.9107881368316881E-2</v>
      </c>
      <c r="B135" s="6">
        <f t="shared" si="5"/>
        <v>1.8581449336216166E-3</v>
      </c>
      <c r="C135" s="6">
        <f t="shared" si="6"/>
        <v>-2.4929820094623523E-3</v>
      </c>
      <c r="D135" s="6">
        <f t="shared" si="7"/>
        <v>10.000634837075841</v>
      </c>
    </row>
    <row r="136" spans="1:4" x14ac:dyDescent="0.3">
      <c r="A136" s="7">
        <f t="shared" si="9"/>
        <v>3.9453968814054198E-2</v>
      </c>
      <c r="B136" s="6">
        <f t="shared" si="5"/>
        <v>1.4961474532835576E-3</v>
      </c>
      <c r="C136" s="6">
        <f t="shared" si="6"/>
        <v>-2.2625409413770114E-3</v>
      </c>
      <c r="D136" s="6">
        <f t="shared" si="7"/>
        <v>10.000766393488094</v>
      </c>
    </row>
    <row r="137" spans="1:4" x14ac:dyDescent="0.3">
      <c r="A137" s="7">
        <f t="shared" si="9"/>
        <v>3.9800056259791515E-2</v>
      </c>
      <c r="B137" s="6">
        <f t="shared" si="5"/>
        <v>1.1686929990625027E-3</v>
      </c>
      <c r="C137" s="6">
        <f t="shared" si="6"/>
        <v>-2.0395625864040312E-3</v>
      </c>
      <c r="D137" s="6">
        <f t="shared" si="7"/>
        <v>10.000870869587342</v>
      </c>
    </row>
    <row r="138" spans="1:4" x14ac:dyDescent="0.3">
      <c r="A138" s="7">
        <f t="shared" si="9"/>
        <v>4.0146143705528832E-2</v>
      </c>
      <c r="B138" s="6">
        <f t="shared" si="5"/>
        <v>8.7453318733390472E-4</v>
      </c>
      <c r="C138" s="6">
        <f t="shared" si="6"/>
        <v>-1.8254652372764468E-3</v>
      </c>
      <c r="D138" s="6">
        <f t="shared" si="7"/>
        <v>10.000950932049943</v>
      </c>
    </row>
    <row r="139" spans="1:4" x14ac:dyDescent="0.3">
      <c r="A139" s="7">
        <f t="shared" si="9"/>
        <v>4.0492231151266149E-2</v>
      </c>
      <c r="B139" s="6">
        <f t="shared" si="5"/>
        <v>6.1222679525205161E-4</v>
      </c>
      <c r="C139" s="6">
        <f t="shared" si="6"/>
        <v>-1.6213683780748056E-3</v>
      </c>
      <c r="D139" s="6">
        <f t="shared" si="7"/>
        <v>10.001009141582824</v>
      </c>
    </row>
    <row r="140" spans="1:4" x14ac:dyDescent="0.3">
      <c r="A140" s="7">
        <f t="shared" si="9"/>
        <v>4.0838318597003466E-2</v>
      </c>
      <c r="B140" s="6">
        <f t="shared" si="5"/>
        <v>3.8018297989399983E-4</v>
      </c>
      <c r="C140" s="6">
        <f t="shared" si="6"/>
        <v>-1.4281224782610735E-3</v>
      </c>
      <c r="D140" s="6">
        <f t="shared" si="7"/>
        <v>10.001047939498367</v>
      </c>
    </row>
    <row r="141" spans="1:4" x14ac:dyDescent="0.3">
      <c r="A141" s="7">
        <f t="shared" si="9"/>
        <v>4.1184406042740783E-2</v>
      </c>
      <c r="B141" s="6">
        <f t="shared" si="5"/>
        <v>1.7670005166407651E-4</v>
      </c>
      <c r="C141" s="6">
        <f t="shared" si="6"/>
        <v>-1.2463375611311278E-3</v>
      </c>
      <c r="D141" s="6">
        <f t="shared" si="7"/>
        <v>10.001069637509467</v>
      </c>
    </row>
    <row r="142" spans="1:4" x14ac:dyDescent="0.3">
      <c r="A142" s="7">
        <f t="shared" si="9"/>
        <v>4.15304934884781E-2</v>
      </c>
      <c r="B142" s="6">
        <f t="shared" si="5"/>
        <v>3.7839988005481525E-17</v>
      </c>
      <c r="C142" s="6">
        <f t="shared" si="6"/>
        <v>-1.0764104030691612E-3</v>
      </c>
      <c r="D142" s="6">
        <f t="shared" si="7"/>
        <v>10.001076410403069</v>
      </c>
    </row>
    <row r="143" spans="1:4" x14ac:dyDescent="0.3">
      <c r="A143" s="7">
        <f t="shared" si="9"/>
        <v>4.1876580934215417E-2</v>
      </c>
      <c r="B143" s="6">
        <f t="shared" si="5"/>
        <v>-1.5174101145271681E-4</v>
      </c>
      <c r="C143" s="6">
        <f t="shared" si="6"/>
        <v>-9.1855025534037793E-4</v>
      </c>
      <c r="D143" s="6">
        <f t="shared" si="7"/>
        <v>10.001070291266792</v>
      </c>
    </row>
    <row r="144" spans="1:4" x14ac:dyDescent="0.3">
      <c r="A144" s="7">
        <f t="shared" si="9"/>
        <v>4.2222668379952734E-2</v>
      </c>
      <c r="B144" s="6">
        <f t="shared" si="5"/>
        <v>-2.8036594901624566E-4</v>
      </c>
      <c r="C144" s="6">
        <f t="shared" si="6"/>
        <v>-7.7280301199245116E-4</v>
      </c>
      <c r="D144" s="6">
        <f t="shared" si="7"/>
        <v>10.001053168961009</v>
      </c>
    </row>
    <row r="145" spans="1:4" x14ac:dyDescent="0.3">
      <c r="A145" s="7">
        <f t="shared" si="9"/>
        <v>4.2568755825690051E-2</v>
      </c>
      <c r="B145" s="6">
        <f t="shared" si="5"/>
        <v>-3.877137718492182E-4</v>
      </c>
      <c r="C145" s="6">
        <f t="shared" si="6"/>
        <v>-6.3907377534100362E-4</v>
      </c>
      <c r="D145" s="6">
        <f t="shared" si="7"/>
        <v>10.00102678754719</v>
      </c>
    </row>
    <row r="146" spans="1:4" x14ac:dyDescent="0.3">
      <c r="A146" s="7">
        <f t="shared" si="9"/>
        <v>4.2914843271427368E-2</v>
      </c>
      <c r="B146" s="6">
        <f t="shared" si="5"/>
        <v>-4.7559960738832849E-4</v>
      </c>
      <c r="C146" s="6">
        <f t="shared" si="6"/>
        <v>-5.1714779514000497E-4</v>
      </c>
      <c r="D146" s="6">
        <f t="shared" si="7"/>
        <v>10.000992747402528</v>
      </c>
    </row>
    <row r="147" spans="1:4" x14ac:dyDescent="0.3">
      <c r="A147" s="7">
        <f t="shared" si="9"/>
        <v>4.3260930717164685E-2</v>
      </c>
      <c r="B147" s="6">
        <f t="shared" si="5"/>
        <v>-5.4579799127495697E-4</v>
      </c>
      <c r="C147" s="6">
        <f t="shared" si="6"/>
        <v>-4.0670977905499228E-4</v>
      </c>
      <c r="D147" s="6">
        <f t="shared" si="7"/>
        <v>10.000952507770331</v>
      </c>
    </row>
    <row r="148" spans="1:4" x14ac:dyDescent="0.3">
      <c r="A148" s="7">
        <f t="shared" si="9"/>
        <v>4.3607018162902002E-2</v>
      </c>
      <c r="B148" s="6">
        <f t="shared" si="5"/>
        <v>-6.0002892474333568E-4</v>
      </c>
      <c r="C148" s="6">
        <f t="shared" si="6"/>
        <v>-3.0736159031796717E-4</v>
      </c>
      <c r="D148" s="6">
        <f t="shared" si="7"/>
        <v>10.000907390515062</v>
      </c>
    </row>
    <row r="149" spans="1:4" x14ac:dyDescent="0.3">
      <c r="A149" s="7">
        <f t="shared" si="9"/>
        <v>4.3953105608639319E-2</v>
      </c>
      <c r="B149" s="6">
        <f t="shared" si="5"/>
        <v>-6.3994650609834397E-4</v>
      </c>
      <c r="C149" s="6">
        <f t="shared" si="6"/>
        <v>-2.1863836414226512E-4</v>
      </c>
      <c r="D149" s="6">
        <f t="shared" si="7"/>
        <v>10.00085858487024</v>
      </c>
    </row>
    <row r="150" spans="1:4" x14ac:dyDescent="0.3">
      <c r="A150" s="7">
        <f t="shared" si="9"/>
        <v>4.4299193054376636E-2</v>
      </c>
      <c r="B150" s="6">
        <f t="shared" ref="B150:B213" si="10">(($B$8/($B$6*$B$13))*EXP(-$B$11*A150)*SIN($B$13*A150))*$B$5</f>
        <v>-6.6712989874591583E-4</v>
      </c>
      <c r="C150" s="6">
        <f t="shared" ref="C150:C213" si="11">$B$8-B150-D150</f>
        <v>-1.4002308760652227E-4</v>
      </c>
      <c r="D150" s="6">
        <f t="shared" ref="D150:D213" si="12">$B$8*(1-EXP(-$B$11*A150)*(COS($B$13*A150)+($B$11/$B$13)*SIN($B$13*A150)))</f>
        <v>10.000807152986352</v>
      </c>
    </row>
    <row r="151" spans="1:4" x14ac:dyDescent="0.3">
      <c r="A151" s="7">
        <f t="shared" ref="A151:A182" si="13">A150+$B$17</f>
        <v>4.4645280500113953E-2</v>
      </c>
      <c r="B151" s="6">
        <f t="shared" si="10"/>
        <v>-6.8307640588331233E-4</v>
      </c>
      <c r="C151" s="6">
        <f t="shared" si="11"/>
        <v>-7.0959698305728125E-5</v>
      </c>
      <c r="D151" s="6">
        <f t="shared" si="12"/>
        <v>10.000754036104189</v>
      </c>
    </row>
    <row r="152" spans="1:4" x14ac:dyDescent="0.3">
      <c r="A152" s="7">
        <f t="shared" si="13"/>
        <v>4.499136794585127E-2</v>
      </c>
      <c r="B152" s="6">
        <f t="shared" si="10"/>
        <v>-6.8919643107024351E-4</v>
      </c>
      <c r="C152" s="6">
        <f t="shared" si="11"/>
        <v>-1.0864765814133648E-5</v>
      </c>
      <c r="D152" s="6">
        <f t="shared" si="12"/>
        <v>10.000700061196884</v>
      </c>
    </row>
    <row r="153" spans="1:4" x14ac:dyDescent="0.3">
      <c r="A153" s="7">
        <f t="shared" si="13"/>
        <v>4.5337455391588587E-2</v>
      </c>
      <c r="B153" s="6">
        <f t="shared" si="10"/>
        <v>-6.868101141762282E-4</v>
      </c>
      <c r="C153" s="6">
        <f t="shared" si="11"/>
        <v>4.0862173436906346E-5</v>
      </c>
      <c r="D153" s="6">
        <f t="shared" si="12"/>
        <v>10.00064594794074</v>
      </c>
    </row>
    <row r="154" spans="1:4" x14ac:dyDescent="0.3">
      <c r="A154" s="7">
        <f t="shared" si="13"/>
        <v>4.5683542837325904E-2</v>
      </c>
      <c r="B154" s="6">
        <f t="shared" si="10"/>
        <v>-6.77145443356739E-4</v>
      </c>
      <c r="C154" s="6">
        <f t="shared" si="11"/>
        <v>8.482955217914423E-5</v>
      </c>
      <c r="D154" s="6">
        <f t="shared" si="12"/>
        <v>10.000592315891177</v>
      </c>
    </row>
    <row r="155" spans="1:4" x14ac:dyDescent="0.3">
      <c r="A155" s="7">
        <f t="shared" si="13"/>
        <v>4.6029630283063221E-2</v>
      </c>
      <c r="B155" s="6">
        <f t="shared" si="10"/>
        <v>-6.6133765550238589E-4</v>
      </c>
      <c r="C155" s="6">
        <f t="shared" si="11"/>
        <v>1.2164590031993328E-4</v>
      </c>
      <c r="D155" s="6">
        <f t="shared" si="12"/>
        <v>10.000539691755183</v>
      </c>
    </row>
    <row r="156" spans="1:4" x14ac:dyDescent="0.3">
      <c r="A156" s="7">
        <f t="shared" si="13"/>
        <v>4.6375717728800538E-2</v>
      </c>
      <c r="B156" s="6">
        <f t="shared" si="10"/>
        <v>-6.4042974981104147E-4</v>
      </c>
      <c r="C156" s="6">
        <f t="shared" si="11"/>
        <v>1.5191308374973289E-4</v>
      </c>
      <c r="D156" s="6">
        <f t="shared" si="12"/>
        <v>10.000488516666062</v>
      </c>
    </row>
    <row r="157" spans="1:4" x14ac:dyDescent="0.3">
      <c r="A157" s="7">
        <f t="shared" si="13"/>
        <v>4.6721805174537855E-2</v>
      </c>
      <c r="B157" s="6">
        <f t="shared" si="10"/>
        <v>-6.1537395155874088E-4</v>
      </c>
      <c r="C157" s="6">
        <f t="shared" si="11"/>
        <v>1.7622057210253672E-4</v>
      </c>
      <c r="D157" s="6">
        <f t="shared" si="12"/>
        <v>10.000439153379457</v>
      </c>
    </row>
    <row r="158" spans="1:4" x14ac:dyDescent="0.3">
      <c r="A158" s="7">
        <f t="shared" si="13"/>
        <v>4.7067892620275172E-2</v>
      </c>
      <c r="B158" s="6">
        <f t="shared" si="10"/>
        <v>-5.8703397562251554E-4</v>
      </c>
      <c r="C158" s="6">
        <f t="shared" si="11"/>
        <v>1.951406536253586E-4</v>
      </c>
      <c r="D158" s="6">
        <f t="shared" si="12"/>
        <v>10.000391893321996</v>
      </c>
    </row>
    <row r="159" spans="1:4" x14ac:dyDescent="0.3">
      <c r="A159" s="7">
        <f t="shared" si="13"/>
        <v>4.7413980066012489E-2</v>
      </c>
      <c r="B159" s="6">
        <f t="shared" si="10"/>
        <v>-5.5618795169127416E-4</v>
      </c>
      <c r="C159" s="6">
        <f t="shared" si="11"/>
        <v>2.0922451648175411E-4</v>
      </c>
      <c r="D159" s="6">
        <f t="shared" si="12"/>
        <v>10.000346963435209</v>
      </c>
    </row>
    <row r="160" spans="1:4" x14ac:dyDescent="0.3">
      <c r="A160" s="7">
        <f t="shared" si="13"/>
        <v>4.7760067511749806E-2</v>
      </c>
      <c r="B160" s="6">
        <f t="shared" si="10"/>
        <v>-5.2353188526567179E-4</v>
      </c>
      <c r="C160" s="6">
        <f t="shared" si="11"/>
        <v>2.1899911751610546E-4</v>
      </c>
      <c r="D160" s="6">
        <f t="shared" si="12"/>
        <v>10.00030453276775</v>
      </c>
    </row>
    <row r="161" spans="1:4" x14ac:dyDescent="0.3">
      <c r="A161" s="7">
        <f t="shared" si="13"/>
        <v>4.8106154957487123E-2</v>
      </c>
      <c r="B161" s="6">
        <f t="shared" si="10"/>
        <v>-4.8968354039035614E-4</v>
      </c>
      <c r="C161" s="6">
        <f t="shared" si="11"/>
        <v>2.2496476199940219E-4</v>
      </c>
      <c r="D161" s="6">
        <f t="shared" si="12"/>
        <v>10.000264718778391</v>
      </c>
    </row>
    <row r="162" spans="1:4" x14ac:dyDescent="0.3">
      <c r="A162" s="7">
        <f t="shared" si="13"/>
        <v>4.8452242403224439E-2</v>
      </c>
      <c r="B162" s="6">
        <f t="shared" si="10"/>
        <v>-4.5518664149636428E-4</v>
      </c>
      <c r="C162" s="6">
        <f t="shared" si="11"/>
        <v>2.2759332074784311E-4</v>
      </c>
      <c r="D162" s="6">
        <f t="shared" si="12"/>
        <v>10.000227593320748</v>
      </c>
    </row>
    <row r="163" spans="1:4" x14ac:dyDescent="0.3">
      <c r="A163" s="7">
        <f t="shared" si="13"/>
        <v>4.8798329848961756E-2</v>
      </c>
      <c r="B163" s="6">
        <f t="shared" si="10"/>
        <v>-4.2051530268861353E-4</v>
      </c>
      <c r="C163" s="6">
        <f t="shared" si="11"/>
        <v>2.2732701437000458E-4</v>
      </c>
      <c r="D163" s="6">
        <f t="shared" si="12"/>
        <v>10.000193188288319</v>
      </c>
    </row>
    <row r="164" spans="1:4" x14ac:dyDescent="0.3">
      <c r="A164" s="7">
        <f t="shared" si="13"/>
        <v>4.9144417294699073E-2</v>
      </c>
      <c r="B164" s="6">
        <f t="shared" si="10"/>
        <v>-3.8607860323923958E-4</v>
      </c>
      <c r="C164" s="6">
        <f t="shared" si="11"/>
        <v>2.2457769798123195E-4</v>
      </c>
      <c r="D164" s="6">
        <f t="shared" si="12"/>
        <v>10.000161500905257</v>
      </c>
    </row>
    <row r="165" spans="1:4" x14ac:dyDescent="0.3">
      <c r="A165" s="7">
        <f t="shared" si="13"/>
        <v>4.949050474043639E-2</v>
      </c>
      <c r="B165" s="6">
        <f t="shared" si="10"/>
        <v>-3.5222523790153453E-4</v>
      </c>
      <c r="C165" s="6">
        <f t="shared" si="11"/>
        <v>2.1972658367985787E-4</v>
      </c>
      <c r="D165" s="6">
        <f t="shared" si="12"/>
        <v>10.000132498654221</v>
      </c>
    </row>
    <row r="166" spans="1:4" x14ac:dyDescent="0.3">
      <c r="A166" s="7">
        <f t="shared" si="13"/>
        <v>4.9836592186173707E-2</v>
      </c>
      <c r="B166" s="6">
        <f t="shared" si="10"/>
        <v>-3.1924817991282618E-4</v>
      </c>
      <c r="C166" s="6">
        <f t="shared" si="11"/>
        <v>2.1312434196651964E-4</v>
      </c>
      <c r="D166" s="6">
        <f t="shared" si="12"/>
        <v>10.000106123837947</v>
      </c>
    </row>
    <row r="167" spans="1:4" x14ac:dyDescent="0.3">
      <c r="A167" s="7">
        <f t="shared" si="13"/>
        <v>5.0182679631911024E-2</v>
      </c>
      <c r="B167" s="6">
        <f t="shared" si="10"/>
        <v>-2.8738930319010723E-4</v>
      </c>
      <c r="C167" s="6">
        <f t="shared" si="11"/>
        <v>2.0509152751202464E-4</v>
      </c>
      <c r="D167" s="6">
        <f t="shared" si="12"/>
        <v>10.000082297775679</v>
      </c>
    </row>
    <row r="168" spans="1:4" x14ac:dyDescent="0.3">
      <c r="A168" s="7">
        <f t="shared" si="13"/>
        <v>5.0528767077648341E-2</v>
      </c>
      <c r="B168" s="6">
        <f t="shared" si="10"/>
        <v>-2.5684391823107758E-4</v>
      </c>
      <c r="C168" s="6">
        <f t="shared" si="11"/>
        <v>1.9591927868667369E-4</v>
      </c>
      <c r="D168" s="6">
        <f t="shared" si="12"/>
        <v>10.000060924639545</v>
      </c>
    </row>
    <row r="169" spans="1:4" x14ac:dyDescent="0.3">
      <c r="A169" s="7">
        <f t="shared" si="13"/>
        <v>5.0874854523385658E-2</v>
      </c>
      <c r="B169" s="6">
        <f t="shared" si="10"/>
        <v>-2.2776518361524161E-4</v>
      </c>
      <c r="C169" s="6">
        <f t="shared" si="11"/>
        <v>1.8587024448457612E-4</v>
      </c>
      <c r="D169" s="6">
        <f t="shared" si="12"/>
        <v>10.00004189493913</v>
      </c>
    </row>
    <row r="170" spans="1:4" x14ac:dyDescent="0.3">
      <c r="A170" s="7">
        <f t="shared" si="13"/>
        <v>5.1220941969122975E-2</v>
      </c>
      <c r="B170" s="6">
        <f t="shared" si="10"/>
        <v>-2.0026836176146332E-4</v>
      </c>
      <c r="C170" s="6">
        <f t="shared" si="11"/>
        <v>1.7517969637736996E-4</v>
      </c>
      <c r="D170" s="6">
        <f t="shared" si="12"/>
        <v>10.000025088665383</v>
      </c>
    </row>
    <row r="171" spans="1:4" x14ac:dyDescent="0.3">
      <c r="A171" s="7">
        <f t="shared" si="13"/>
        <v>5.1567029414860292E-2</v>
      </c>
      <c r="B171" s="6">
        <f t="shared" si="10"/>
        <v>-1.7443489375261066E-4</v>
      </c>
      <c r="C171" s="6">
        <f t="shared" si="11"/>
        <v>1.6405678671205237E-4</v>
      </c>
      <c r="D171" s="6">
        <f t="shared" si="12"/>
        <v>10.00001037810704</v>
      </c>
    </row>
    <row r="172" spans="1:4" x14ac:dyDescent="0.3">
      <c r="A172" s="7">
        <f t="shared" si="13"/>
        <v>5.1913116860597609E-2</v>
      </c>
      <c r="B172" s="6">
        <f t="shared" si="10"/>
        <v>-1.5031627360213626E-4</v>
      </c>
      <c r="C172" s="6">
        <f t="shared" si="11"/>
        <v>1.5268591894113115E-4</v>
      </c>
      <c r="D172" s="6">
        <f t="shared" si="12"/>
        <v>9.9999976303546614</v>
      </c>
    </row>
    <row r="173" spans="1:4" x14ac:dyDescent="0.3">
      <c r="A173" s="7">
        <f t="shared" si="13"/>
        <v>5.2259204306334926E-2</v>
      </c>
      <c r="B173" s="6">
        <f t="shared" si="10"/>
        <v>-1.2793770733331562E-4</v>
      </c>
      <c r="C173" s="6">
        <f t="shared" si="11"/>
        <v>1.4122819875694859E-4</v>
      </c>
      <c r="D173" s="6">
        <f t="shared" si="12"/>
        <v>9.9999867095085762</v>
      </c>
    </row>
    <row r="174" spans="1:4" x14ac:dyDescent="0.3">
      <c r="A174" s="7">
        <f t="shared" si="13"/>
        <v>5.2605291752072243E-2</v>
      </c>
      <c r="B174" s="6">
        <f t="shared" si="10"/>
        <v>-1.0730154669429801E-4</v>
      </c>
      <c r="C174" s="6">
        <f t="shared" si="11"/>
        <v>1.2982293855756666E-4</v>
      </c>
      <c r="D174" s="6">
        <f t="shared" si="12"/>
        <v>9.9999774786081375</v>
      </c>
    </row>
    <row r="175" spans="1:4" x14ac:dyDescent="0.3">
      <c r="A175" s="7">
        <f t="shared" si="13"/>
        <v>5.295137919780956E-2</v>
      </c>
      <c r="B175" s="6">
        <f t="shared" si="10"/>
        <v>-8.8390491268458625E-5</v>
      </c>
      <c r="C175" s="6">
        <f t="shared" si="11"/>
        <v>1.1858919105378618E-4</v>
      </c>
      <c r="D175" s="6">
        <f t="shared" si="12"/>
        <v>9.9999698013002138</v>
      </c>
    </row>
    <row r="176" spans="1:4" x14ac:dyDescent="0.3">
      <c r="A176" s="7">
        <f t="shared" si="13"/>
        <v>5.3297466643546877E-2</v>
      </c>
      <c r="B176" s="6">
        <f t="shared" si="10"/>
        <v>-7.1170556189088652E-5</v>
      </c>
      <c r="C176" s="6">
        <f t="shared" si="11"/>
        <v>1.0762729091062795E-4</v>
      </c>
      <c r="D176" s="6">
        <f t="shared" si="12"/>
        <v>9.9999635432652791</v>
      </c>
    </row>
    <row r="177" spans="1:4" x14ac:dyDescent="0.3">
      <c r="A177" s="7">
        <f t="shared" si="13"/>
        <v>5.3643554089284194E-2</v>
      </c>
      <c r="B177" s="6">
        <f t="shared" si="10"/>
        <v>-5.5593805660683364E-5</v>
      </c>
      <c r="C177" s="6">
        <f t="shared" si="11"/>
        <v>9.7020386151669413E-5</v>
      </c>
      <c r="D177" s="6">
        <f t="shared" si="12"/>
        <v>9.9999585734195087</v>
      </c>
    </row>
    <row r="178" spans="1:4" x14ac:dyDescent="0.3">
      <c r="A178" s="7">
        <f t="shared" si="13"/>
        <v>5.3989641535021511E-2</v>
      </c>
      <c r="B178" s="6">
        <f t="shared" si="10"/>
        <v>-4.160085505728223E-5</v>
      </c>
      <c r="C178" s="6">
        <f t="shared" si="11"/>
        <v>8.6835943848839747E-5</v>
      </c>
      <c r="D178" s="6">
        <f t="shared" si="12"/>
        <v>9.9999547649112088</v>
      </c>
    </row>
    <row r="179" spans="1:4" x14ac:dyDescent="0.3">
      <c r="A179" s="7">
        <f t="shared" si="13"/>
        <v>5.4335728980758828E-2</v>
      </c>
      <c r="B179" s="6">
        <f t="shared" si="10"/>
        <v>-2.9123146543026441E-5</v>
      </c>
      <c r="C179" s="6">
        <f t="shared" si="11"/>
        <v>7.7127216973948975E-5</v>
      </c>
      <c r="D179" s="6">
        <f t="shared" si="12"/>
        <v>9.9999519959295693</v>
      </c>
    </row>
    <row r="180" spans="1:4" x14ac:dyDescent="0.3">
      <c r="A180" s="7">
        <f t="shared" si="13"/>
        <v>5.4681816426496145E-2</v>
      </c>
      <c r="B180" s="6">
        <f t="shared" si="10"/>
        <v>-1.8085004972804778E-5</v>
      </c>
      <c r="C180" s="6">
        <f t="shared" si="11"/>
        <v>6.7934661693414E-5</v>
      </c>
      <c r="D180" s="6">
        <f t="shared" si="12"/>
        <v>9.9999501503432793</v>
      </c>
    </row>
    <row r="181" spans="1:4" x14ac:dyDescent="0.3">
      <c r="A181" s="7">
        <f t="shared" si="13"/>
        <v>5.5027903872233462E-2</v>
      </c>
      <c r="B181" s="6">
        <f t="shared" si="10"/>
        <v>-8.4054823125719137E-6</v>
      </c>
      <c r="C181" s="6">
        <f t="shared" si="11"/>
        <v>5.9287296334531447E-5</v>
      </c>
      <c r="D181" s="6">
        <f t="shared" si="12"/>
        <v>9.9999491181859774</v>
      </c>
    </row>
    <row r="182" spans="1:4" x14ac:dyDescent="0.3">
      <c r="A182" s="7">
        <f t="shared" si="13"/>
        <v>5.5373991317970779E-2</v>
      </c>
      <c r="B182" s="6">
        <f t="shared" si="10"/>
        <v>-2.6939461406472741E-18</v>
      </c>
      <c r="C182" s="6">
        <f t="shared" si="11"/>
        <v>5.1203995237614208E-5</v>
      </c>
      <c r="D182" s="6">
        <f t="shared" si="12"/>
        <v>9.9999487960047624</v>
      </c>
    </row>
    <row r="183" spans="1:4" x14ac:dyDescent="0.3">
      <c r="A183" s="7">
        <f t="shared" ref="A183:A214" si="14">A182+$B$17</f>
        <v>5.5720078763708096E-2</v>
      </c>
      <c r="B183" s="6">
        <f t="shared" si="10"/>
        <v>7.2182004240836306E-6</v>
      </c>
      <c r="C183" s="6">
        <f t="shared" si="11"/>
        <v>4.3694712319464202E-5</v>
      </c>
      <c r="D183" s="6">
        <f t="shared" si="12"/>
        <v>9.9999490870872556</v>
      </c>
    </row>
    <row r="184" spans="1:4" x14ac:dyDescent="0.3">
      <c r="A184" s="7">
        <f t="shared" si="14"/>
        <v>5.6066166209445413E-2</v>
      </c>
      <c r="B184" s="6">
        <f t="shared" si="10"/>
        <v>1.3336787416356582E-5</v>
      </c>
      <c r="C184" s="6">
        <f t="shared" si="11"/>
        <v>3.6761630724413408E-5</v>
      </c>
      <c r="D184" s="6">
        <f t="shared" si="12"/>
        <v>9.9999499015818589</v>
      </c>
    </row>
    <row r="185" spans="1:4" x14ac:dyDescent="0.3">
      <c r="A185" s="7">
        <f t="shared" si="14"/>
        <v>5.641225365518273E-2</v>
      </c>
      <c r="B185" s="6">
        <f t="shared" si="10"/>
        <v>1.844323881587809E-5</v>
      </c>
      <c r="C185" s="6">
        <f t="shared" si="11"/>
        <v>3.040023624656385E-5</v>
      </c>
      <c r="D185" s="6">
        <f t="shared" si="12"/>
        <v>9.9999511565249382</v>
      </c>
    </row>
    <row r="186" spans="1:4" x14ac:dyDescent="0.3">
      <c r="A186" s="7">
        <f t="shared" si="14"/>
        <v>5.6758341100920047E-2</v>
      </c>
      <c r="B186" s="6">
        <f t="shared" si="10"/>
        <v>2.2623898805462535E-5</v>
      </c>
      <c r="C186" s="6">
        <f t="shared" si="11"/>
        <v>2.4600313377476368E-5</v>
      </c>
      <c r="D186" s="6">
        <f t="shared" si="12"/>
        <v>9.9999527757878166</v>
      </c>
    </row>
    <row r="187" spans="1:4" x14ac:dyDescent="0.3">
      <c r="A187" s="7">
        <f t="shared" si="14"/>
        <v>5.7104428546657364E-2</v>
      </c>
      <c r="B187" s="6">
        <f t="shared" si="10"/>
        <v>2.5963180648185919E-5</v>
      </c>
      <c r="C187" s="6">
        <f t="shared" si="11"/>
        <v>1.9346863918912049E-5</v>
      </c>
      <c r="D187" s="6">
        <f t="shared" si="12"/>
        <v>9.9999546899554321</v>
      </c>
    </row>
    <row r="188" spans="1:4" x14ac:dyDescent="0.3">
      <c r="A188" s="7">
        <f t="shared" si="14"/>
        <v>5.7450515992394681E-2</v>
      </c>
      <c r="B188" s="6">
        <f t="shared" si="10"/>
        <v>2.85429034483198E-5</v>
      </c>
      <c r="C188" s="6">
        <f t="shared" si="11"/>
        <v>1.4620948814325629E-5</v>
      </c>
      <c r="D188" s="6">
        <f t="shared" si="12"/>
        <v>9.9999568361477369</v>
      </c>
    </row>
    <row r="189" spans="1:4" x14ac:dyDescent="0.3">
      <c r="A189" s="7">
        <f t="shared" si="14"/>
        <v>5.7796603438131998E-2</v>
      </c>
      <c r="B189" s="6">
        <f t="shared" si="10"/>
        <v>3.0441751359683257E-5</v>
      </c>
      <c r="C189" s="6">
        <f t="shared" si="11"/>
        <v>1.0400454812042881E-5</v>
      </c>
      <c r="D189" s="6">
        <f t="shared" si="12"/>
        <v>9.9999591577938283</v>
      </c>
    </row>
    <row r="190" spans="1:4" x14ac:dyDescent="0.3">
      <c r="A190" s="7">
        <f t="shared" si="14"/>
        <v>5.8142690883869315E-2</v>
      </c>
      <c r="B190" s="6">
        <f t="shared" si="10"/>
        <v>3.1734843941960618E-5</v>
      </c>
      <c r="C190" s="6">
        <f t="shared" si="11"/>
        <v>6.6607880135904907E-6</v>
      </c>
      <c r="D190" s="6">
        <f t="shared" si="12"/>
        <v>9.9999616043680444</v>
      </c>
    </row>
    <row r="191" spans="1:4" x14ac:dyDescent="0.3">
      <c r="A191" s="7">
        <f t="shared" si="14"/>
        <v>5.8488778329606632E-2</v>
      </c>
      <c r="B191" s="6">
        <f t="shared" si="10"/>
        <v>3.2493406729171917E-5</v>
      </c>
      <c r="C191" s="6">
        <f t="shared" si="11"/>
        <v>3.3754969699373305E-6</v>
      </c>
      <c r="D191" s="6">
        <f t="shared" si="12"/>
        <v>9.9999641310963003</v>
      </c>
    </row>
    <row r="192" spans="1:4" x14ac:dyDescent="0.3">
      <c r="A192" s="7">
        <f t="shared" si="14"/>
        <v>5.8834865775343949E-2</v>
      </c>
      <c r="B192" s="6">
        <f t="shared" si="10"/>
        <v>3.2784531508009293E-5</v>
      </c>
      <c r="C192" s="6">
        <f t="shared" si="11"/>
        <v>5.1682835433553009E-7</v>
      </c>
      <c r="D192" s="6">
        <f t="shared" si="12"/>
        <v>9.9999666986401383</v>
      </c>
    </row>
    <row r="193" spans="1:4" x14ac:dyDescent="0.3">
      <c r="A193" s="7">
        <f t="shared" si="14"/>
        <v>5.9180953221081266E-2</v>
      </c>
      <c r="B193" s="6">
        <f t="shared" si="10"/>
        <v>3.2671016292501778E-5</v>
      </c>
      <c r="C193" s="6">
        <f t="shared" si="11"/>
        <v>-1.9437814131606501E-6</v>
      </c>
      <c r="D193" s="6">
        <f t="shared" si="12"/>
        <v>9.9999692727651208</v>
      </c>
    </row>
    <row r="194" spans="1:4" x14ac:dyDescent="0.3">
      <c r="A194" s="7">
        <f t="shared" si="14"/>
        <v>5.9527040666818583E-2</v>
      </c>
      <c r="B194" s="6">
        <f t="shared" si="10"/>
        <v>3.2211275512207761E-5</v>
      </c>
      <c r="C194" s="6">
        <f t="shared" si="11"/>
        <v>-4.0352749959282619E-6</v>
      </c>
      <c r="D194" s="6">
        <f t="shared" si="12"/>
        <v>9.9999718239994841</v>
      </c>
    </row>
    <row r="195" spans="1:4" x14ac:dyDescent="0.3">
      <c r="A195" s="7">
        <f t="shared" si="14"/>
        <v>5.98731281125559E-2</v>
      </c>
      <c r="B195" s="6">
        <f t="shared" si="10"/>
        <v>3.1459311492054438E-5</v>
      </c>
      <c r="C195" s="6">
        <f t="shared" si="11"/>
        <v>-5.7865996865302805E-6</v>
      </c>
      <c r="D195" s="6">
        <f t="shared" si="12"/>
        <v>9.9999743272881947</v>
      </c>
    </row>
    <row r="196" spans="1:4" x14ac:dyDescent="0.3">
      <c r="A196" s="7">
        <f t="shared" si="14"/>
        <v>6.0219215558293217E-2</v>
      </c>
      <c r="B196" s="6">
        <f t="shared" si="10"/>
        <v>3.0464738882559183E-5</v>
      </c>
      <c r="C196" s="6">
        <f t="shared" si="11"/>
        <v>-7.2263857671117648E-6</v>
      </c>
      <c r="D196" s="6">
        <f t="shared" si="12"/>
        <v>9.9999767616468844</v>
      </c>
    </row>
    <row r="197" spans="1:4" x14ac:dyDescent="0.3">
      <c r="A197" s="7">
        <f t="shared" si="14"/>
        <v>6.0565303004030534E-2</v>
      </c>
      <c r="B197" s="6">
        <f t="shared" si="10"/>
        <v>2.9272854290259082E-5</v>
      </c>
      <c r="C197" s="6">
        <f t="shared" si="11"/>
        <v>-8.3826738457304373E-6</v>
      </c>
      <c r="D197" s="6">
        <f t="shared" si="12"/>
        <v>9.9999791098195558</v>
      </c>
    </row>
    <row r="198" spans="1:4" x14ac:dyDescent="0.3">
      <c r="A198" s="7">
        <f t="shared" si="14"/>
        <v>6.0911390449767851E-2</v>
      </c>
      <c r="B198" s="6">
        <f t="shared" si="10"/>
        <v>2.7924743951709311E-5</v>
      </c>
      <c r="C198" s="6">
        <f t="shared" si="11"/>
        <v>-9.2826872268858551E-6</v>
      </c>
      <c r="D198" s="6">
        <f t="shared" si="12"/>
        <v>9.999981357943275</v>
      </c>
    </row>
    <row r="199" spans="1:4" x14ac:dyDescent="0.3">
      <c r="A199" s="7">
        <f t="shared" si="14"/>
        <v>6.1257477895505168E-2</v>
      </c>
      <c r="B199" s="6">
        <f t="shared" si="10"/>
        <v>2.6457422883461475E-5</v>
      </c>
      <c r="C199" s="6">
        <f t="shared" si="11"/>
        <v>-9.9526454917509E-6</v>
      </c>
      <c r="D199" s="6">
        <f t="shared" si="12"/>
        <v>9.9999834952226081</v>
      </c>
    </row>
    <row r="200" spans="1:4" x14ac:dyDescent="0.3">
      <c r="A200" s="7">
        <f t="shared" si="14"/>
        <v>6.1603565341242485E-2</v>
      </c>
      <c r="B200" s="6">
        <f t="shared" si="10"/>
        <v>2.4903999519101792E-5</v>
      </c>
      <c r="C200" s="6">
        <f t="shared" si="11"/>
        <v>-1.0417615564861649E-5</v>
      </c>
      <c r="D200" s="6">
        <f t="shared" si="12"/>
        <v>9.9999855136160463</v>
      </c>
    </row>
    <row r="201" spans="1:4" x14ac:dyDescent="0.3">
      <c r="A201" s="7">
        <f t="shared" si="14"/>
        <v>6.1949652786979802E-2</v>
      </c>
      <c r="B201" s="6">
        <f t="shared" si="10"/>
        <v>2.3293860407766727E-5</v>
      </c>
      <c r="C201" s="6">
        <f t="shared" si="11"/>
        <v>-1.0701396575996114E-5</v>
      </c>
      <c r="D201" s="6">
        <f t="shared" si="12"/>
        <v>9.9999874075361674</v>
      </c>
    </row>
    <row r="202" spans="1:4" x14ac:dyDescent="0.3">
      <c r="A202" s="7">
        <f t="shared" si="14"/>
        <v>6.2295740232717119E-2</v>
      </c>
      <c r="B202" s="6">
        <f t="shared" si="10"/>
        <v>2.1652870092476786E-5</v>
      </c>
      <c r="C202" s="6">
        <f t="shared" si="11"/>
        <v>-1.082643504624059E-5</v>
      </c>
      <c r="D202" s="6">
        <f t="shared" si="12"/>
        <v>9.9999891735649538</v>
      </c>
    </row>
    <row r="203" spans="1:4" x14ac:dyDescent="0.3">
      <c r="A203" s="7">
        <f t="shared" si="14"/>
        <v>6.2641827678454443E-2</v>
      </c>
      <c r="B203" s="6">
        <f t="shared" si="10"/>
        <v>2.0003581807854581E-5</v>
      </c>
      <c r="C203" s="6">
        <f t="shared" si="11"/>
        <v>-1.0813767062245461E-5</v>
      </c>
      <c r="D203" s="6">
        <f t="shared" si="12"/>
        <v>9.9999908101852544</v>
      </c>
    </row>
    <row r="204" spans="1:4" x14ac:dyDescent="0.3">
      <c r="A204" s="7">
        <f t="shared" si="14"/>
        <v>6.298791512419176E-2</v>
      </c>
      <c r="B204" s="6">
        <f t="shared" si="10"/>
        <v>1.8365455132740121E-5</v>
      </c>
      <c r="C204" s="6">
        <f t="shared" si="11"/>
        <v>-1.0682984246557226E-5</v>
      </c>
      <c r="D204" s="6">
        <f t="shared" si="12"/>
        <v>9.999992317529113</v>
      </c>
    </row>
    <row r="205" spans="1:4" x14ac:dyDescent="0.3">
      <c r="A205" s="7">
        <f t="shared" si="14"/>
        <v>6.3334002569929077E-2</v>
      </c>
      <c r="B205" s="6">
        <f t="shared" si="10"/>
        <v>1.6755077201962614E-5</v>
      </c>
      <c r="C205" s="6">
        <f t="shared" si="11"/>
        <v>-1.0452220557510827E-5</v>
      </c>
      <c r="D205" s="6">
        <f t="shared" si="12"/>
        <v>9.9999936971433563</v>
      </c>
    </row>
    <row r="206" spans="1:4" x14ac:dyDescent="0.3">
      <c r="A206" s="7">
        <f t="shared" si="14"/>
        <v>6.3680090015666393E-2</v>
      </c>
      <c r="B206" s="6">
        <f t="shared" si="10"/>
        <v>1.5186384521715594E-5</v>
      </c>
      <c r="C206" s="6">
        <f t="shared" si="11"/>
        <v>-1.0138157119143898E-5</v>
      </c>
      <c r="D206" s="6">
        <f t="shared" si="12"/>
        <v>9.9999949517725977</v>
      </c>
    </row>
    <row r="207" spans="1:4" x14ac:dyDescent="0.3">
      <c r="A207" s="7">
        <f t="shared" si="14"/>
        <v>6.402617746140371E-2</v>
      </c>
      <c r="B207" s="6">
        <f t="shared" si="10"/>
        <v>1.3670882843763186E-5</v>
      </c>
      <c r="C207" s="6">
        <f t="shared" si="11"/>
        <v>-9.7560424610065866E-6</v>
      </c>
      <c r="D207" s="6">
        <f t="shared" si="12"/>
        <v>9.9999960851596175</v>
      </c>
    </row>
    <row r="208" spans="1:4" x14ac:dyDescent="0.3">
      <c r="A208" s="7">
        <f t="shared" si="14"/>
        <v>6.4372264907141027E-2</v>
      </c>
      <c r="B208" s="6">
        <f t="shared" si="10"/>
        <v>1.2217862934680804E-5</v>
      </c>
      <c r="C208" s="6">
        <f t="shared" si="11"/>
        <v>-9.3197258070887301E-6</v>
      </c>
      <c r="D208" s="6">
        <f t="shared" si="12"/>
        <v>9.9999971018628724</v>
      </c>
    </row>
    <row r="209" spans="1:4" x14ac:dyDescent="0.3">
      <c r="A209" s="7">
        <f t="shared" si="14"/>
        <v>6.4718352352878344E-2</v>
      </c>
      <c r="B209" s="6">
        <f t="shared" si="10"/>
        <v>1.0834610427488481E-5</v>
      </c>
      <c r="C209" s="6">
        <f t="shared" si="11"/>
        <v>-8.8417011632202502E-6</v>
      </c>
      <c r="D209" s="6">
        <f t="shared" si="12"/>
        <v>9.9999980070907366</v>
      </c>
    </row>
    <row r="210" spans="1:4" x14ac:dyDescent="0.3">
      <c r="A210" s="7">
        <f t="shared" si="14"/>
        <v>6.5064439798615661E-2</v>
      </c>
      <c r="B210" s="6">
        <f t="shared" si="10"/>
        <v>9.5266082646864489E-6</v>
      </c>
      <c r="C210" s="6">
        <f t="shared" si="11"/>
        <v>-8.3331602080960465E-6</v>
      </c>
      <c r="D210" s="6">
        <f t="shared" si="12"/>
        <v>9.9999988065519432</v>
      </c>
    </row>
    <row r="211" spans="1:4" x14ac:dyDescent="0.3">
      <c r="A211" s="7">
        <f t="shared" si="14"/>
        <v>6.5410527244352978E-2</v>
      </c>
      <c r="B211" s="6">
        <f t="shared" si="10"/>
        <v>8.2977305344547561E-6</v>
      </c>
      <c r="C211" s="6">
        <f t="shared" si="11"/>
        <v>-7.8040521547251274E-6</v>
      </c>
      <c r="D211" s="6">
        <f t="shared" si="12"/>
        <v>9.99999950632162</v>
      </c>
    </row>
    <row r="212" spans="1:4" x14ac:dyDescent="0.3">
      <c r="A212" s="7">
        <f t="shared" si="14"/>
        <v>6.5756614690090295E-2</v>
      </c>
      <c r="B212" s="6">
        <f t="shared" si="10"/>
        <v>7.1504267664635965E-6</v>
      </c>
      <c r="C212" s="6">
        <f t="shared" si="11"/>
        <v>-7.2631489285157613E-6</v>
      </c>
      <c r="D212" s="6">
        <f t="shared" si="12"/>
        <v>10.000000112722162</v>
      </c>
    </row>
    <row r="213" spans="1:4" x14ac:dyDescent="0.3">
      <c r="A213" s="7">
        <f t="shared" si="14"/>
        <v>6.6102702135827612E-2</v>
      </c>
      <c r="B213" s="6">
        <f t="shared" si="10"/>
        <v>6.0858959913913665E-6</v>
      </c>
      <c r="C213" s="6">
        <f t="shared" si="11"/>
        <v>-6.7181142018313267E-6</v>
      </c>
      <c r="D213" s="6">
        <f t="shared" si="12"/>
        <v>10.00000063221821</v>
      </c>
    </row>
    <row r="214" spans="1:4" x14ac:dyDescent="0.3">
      <c r="A214" s="7">
        <f t="shared" si="14"/>
        <v>6.6448789581564929E-2</v>
      </c>
      <c r="B214" s="6">
        <f t="shared" ref="B214:B222" si="15">(($B$8/($B$6*$B$13))*EXP(-$B$11*A214)*SIN($B$13*A214))*$B$5</f>
        <v>5.10425008004556E-6</v>
      </c>
      <c r="C214" s="6">
        <f t="shared" ref="C214:C222" si="16">$B$8-B214-D214</f>
        <v>-6.1755749563019435E-6</v>
      </c>
      <c r="D214" s="6">
        <f t="shared" ref="D214:D222" si="17">$B$8*(1-EXP(-$B$11*A214)*(COS($B$13*A214)+($B$11/$B$13)*SIN($B$13*A214)))</f>
        <v>10.000001071324876</v>
      </c>
    </row>
    <row r="215" spans="1:4" x14ac:dyDescent="0.3">
      <c r="A215" s="7">
        <f t="shared" ref="A215:A222" si="18">A214+$B$17</f>
        <v>6.6794877027302246E-2</v>
      </c>
      <c r="B215" s="6">
        <f t="shared" si="15"/>
        <v>4.2046660652308501E-6</v>
      </c>
      <c r="C215" s="6">
        <f t="shared" si="16"/>
        <v>-5.6411944342471543E-6</v>
      </c>
      <c r="D215" s="6">
        <f t="shared" si="17"/>
        <v>10.000001436528368</v>
      </c>
    </row>
    <row r="216" spans="1:4" x14ac:dyDescent="0.3">
      <c r="A216" s="7">
        <f t="shared" si="18"/>
        <v>6.7140964473039563E-2</v>
      </c>
      <c r="B216" s="6">
        <f t="shared" si="15"/>
        <v>3.3855273135997543E-6</v>
      </c>
      <c r="C216" s="6">
        <f t="shared" si="16"/>
        <v>-5.1197454755680383E-6</v>
      </c>
      <c r="D216" s="6">
        <f t="shared" si="17"/>
        <v>10.000001734218163</v>
      </c>
    </row>
    <row r="217" spans="1:4" x14ac:dyDescent="0.3">
      <c r="A217" s="7">
        <f t="shared" si="18"/>
        <v>6.748705191877688E-2</v>
      </c>
      <c r="B217" s="6">
        <f t="shared" si="15"/>
        <v>2.6445535571078849E-6</v>
      </c>
      <c r="C217" s="6">
        <f t="shared" si="16"/>
        <v>-4.6151833696939093E-6</v>
      </c>
      <c r="D217" s="6">
        <f t="shared" si="17"/>
        <v>10.000001970629812</v>
      </c>
    </row>
    <row r="218" spans="1:4" x14ac:dyDescent="0.3">
      <c r="A218" s="7">
        <f t="shared" si="18"/>
        <v>6.7833139364514197E-2</v>
      </c>
      <c r="B218" s="6">
        <f t="shared" si="15"/>
        <v>1.9789199158616046E-6</v>
      </c>
      <c r="C218" s="6">
        <f t="shared" si="16"/>
        <v>-4.1307174676319391E-6</v>
      </c>
      <c r="D218" s="6">
        <f t="shared" si="17"/>
        <v>10.000002151797553</v>
      </c>
    </row>
    <row r="219" spans="1:4" x14ac:dyDescent="0.3">
      <c r="A219" s="7">
        <f t="shared" si="18"/>
        <v>6.8179226810251514E-2</v>
      </c>
      <c r="B219" s="6">
        <f t="shared" si="15"/>
        <v>1.3853651475960005E-6</v>
      </c>
      <c r="C219" s="6">
        <f t="shared" si="16"/>
        <v>-3.6688809768037345E-6</v>
      </c>
      <c r="D219" s="6">
        <f t="shared" si="17"/>
        <v>10.00000228351583</v>
      </c>
    </row>
    <row r="220" spans="1:4" x14ac:dyDescent="0.3">
      <c r="A220" s="7">
        <f t="shared" si="18"/>
        <v>6.8525314255988831E-2</v>
      </c>
      <c r="B220" s="6">
        <f t="shared" si="15"/>
        <v>8.6028944524965193E-7</v>
      </c>
      <c r="C220" s="6">
        <f t="shared" si="16"/>
        <v>-3.2315983613528942E-6</v>
      </c>
      <c r="D220" s="6">
        <f t="shared" si="17"/>
        <v>10.000002371308916</v>
      </c>
    </row>
    <row r="221" spans="1:4" x14ac:dyDescent="0.3">
      <c r="A221" s="7">
        <f t="shared" si="18"/>
        <v>6.8871401701726148E-2</v>
      </c>
      <c r="B221" s="6">
        <f t="shared" si="15"/>
        <v>3.9984217458676292E-7</v>
      </c>
      <c r="C221" s="6">
        <f t="shared" si="16"/>
        <v>-2.8202499997576069E-6</v>
      </c>
      <c r="D221" s="6">
        <f t="shared" si="17"/>
        <v>10.000002420407824</v>
      </c>
    </row>
    <row r="222" spans="1:4" x14ac:dyDescent="0.3">
      <c r="A222" s="7">
        <f t="shared" si="18"/>
        <v>6.9217489147463465E-2</v>
      </c>
      <c r="B222" s="6">
        <f t="shared" si="15"/>
        <v>1.7067233369770457E-19</v>
      </c>
      <c r="C222" s="6">
        <f t="shared" si="16"/>
        <v>-2.4357337320424222E-6</v>
      </c>
      <c r="D222" s="6">
        <f t="shared" si="17"/>
        <v>10.000002435733732</v>
      </c>
    </row>
  </sheetData>
  <mergeCells count="1">
    <mergeCell ref="A19:D1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RLC Transient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singhahdil@gmail.com</cp:lastModifiedBy>
  <cp:revision>1</cp:revision>
  <dcterms:created xsi:type="dcterms:W3CDTF">2026-09-17T00:04:25Z</dcterms:created>
  <dcterms:modified xsi:type="dcterms:W3CDTF">2026-09-21T00:04:34Z</dcterms:modified>
  <dc:language>en-US</dc:language>
</cp:coreProperties>
</file>