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rago\Downloads\"/>
    </mc:Choice>
  </mc:AlternateContent>
  <xr:revisionPtr revIDLastSave="0" documentId="13_ncr:1_{3EA3509D-81AE-471B-87AA-7C8A4251EDC6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RLC Transien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2" i="1" l="1"/>
  <c r="B11" i="1"/>
  <c r="B13" i="1" l="1"/>
  <c r="B14" i="1" s="1"/>
  <c r="B15" i="1" s="1"/>
  <c r="B17" i="1" s="1"/>
  <c r="A23" i="1" s="1"/>
  <c r="A24" i="1" s="1"/>
  <c r="B24" i="1" s="1"/>
  <c r="D22" i="1" l="1"/>
  <c r="B22" i="1"/>
  <c r="B23" i="1"/>
  <c r="C22" i="1"/>
  <c r="D23" i="1"/>
  <c r="D24" i="1"/>
  <c r="C24" i="1" s="1"/>
  <c r="A25" i="1"/>
  <c r="C23" i="1" l="1"/>
  <c r="A26" i="1"/>
  <c r="B25" i="1"/>
  <c r="D25" i="1"/>
  <c r="C25" i="1" l="1"/>
  <c r="A27" i="1"/>
  <c r="D26" i="1"/>
  <c r="B26" i="1"/>
  <c r="C26" i="1" s="1"/>
  <c r="A28" i="1" l="1"/>
  <c r="B27" i="1"/>
  <c r="D27" i="1"/>
  <c r="C27" i="1" l="1"/>
  <c r="A29" i="1"/>
  <c r="B28" i="1"/>
  <c r="D28" i="1"/>
  <c r="C28" i="1" l="1"/>
  <c r="A30" i="1"/>
  <c r="D29" i="1"/>
  <c r="B29" i="1"/>
  <c r="C29" i="1" s="1"/>
  <c r="A31" i="1" l="1"/>
  <c r="D30" i="1"/>
  <c r="B30" i="1"/>
  <c r="C30" i="1" s="1"/>
  <c r="A32" i="1" l="1"/>
  <c r="B31" i="1"/>
  <c r="D31" i="1"/>
  <c r="A33" i="1" l="1"/>
  <c r="D32" i="1"/>
  <c r="B32" i="1"/>
  <c r="C32" i="1" s="1"/>
  <c r="C31" i="1"/>
  <c r="A34" i="1" l="1"/>
  <c r="D33" i="1"/>
  <c r="B33" i="1"/>
  <c r="C33" i="1" s="1"/>
  <c r="A35" i="1" l="1"/>
  <c r="B34" i="1"/>
  <c r="D34" i="1"/>
  <c r="A36" i="1" l="1"/>
  <c r="D35" i="1"/>
  <c r="B35" i="1"/>
  <c r="C35" i="1" s="1"/>
  <c r="C34" i="1"/>
  <c r="A37" i="1" l="1"/>
  <c r="D36" i="1"/>
  <c r="B36" i="1"/>
  <c r="C36" i="1" s="1"/>
  <c r="A38" i="1" l="1"/>
  <c r="D37" i="1"/>
  <c r="B37" i="1"/>
  <c r="C37" i="1" s="1"/>
  <c r="A39" i="1" l="1"/>
  <c r="B38" i="1"/>
  <c r="D38" i="1"/>
  <c r="A40" i="1" l="1"/>
  <c r="D39" i="1"/>
  <c r="B39" i="1"/>
  <c r="C39" i="1" s="1"/>
  <c r="C38" i="1"/>
  <c r="A41" i="1" l="1"/>
  <c r="B40" i="1"/>
  <c r="D40" i="1"/>
  <c r="A42" i="1" l="1"/>
  <c r="B41" i="1"/>
  <c r="D41" i="1"/>
  <c r="C40" i="1"/>
  <c r="C41" i="1" l="1"/>
  <c r="A43" i="1"/>
  <c r="D42" i="1"/>
  <c r="B42" i="1"/>
  <c r="A44" i="1" l="1"/>
  <c r="B43" i="1"/>
  <c r="D43" i="1"/>
  <c r="C42" i="1"/>
  <c r="C43" i="1" l="1"/>
  <c r="A45" i="1"/>
  <c r="D44" i="1"/>
  <c r="B44" i="1"/>
  <c r="A46" i="1" l="1"/>
  <c r="D45" i="1"/>
  <c r="B45" i="1"/>
  <c r="C44" i="1"/>
  <c r="A47" i="1" l="1"/>
  <c r="B46" i="1"/>
  <c r="D46" i="1"/>
  <c r="C45" i="1"/>
  <c r="C46" i="1" l="1"/>
  <c r="A48" i="1"/>
  <c r="B47" i="1"/>
  <c r="D47" i="1"/>
  <c r="C47" i="1" l="1"/>
  <c r="A49" i="1"/>
  <c r="D48" i="1"/>
  <c r="B48" i="1"/>
  <c r="A50" i="1" l="1"/>
  <c r="D49" i="1"/>
  <c r="B49" i="1"/>
  <c r="C48" i="1"/>
  <c r="C49" i="1" l="1"/>
  <c r="A51" i="1"/>
  <c r="D50" i="1"/>
  <c r="B50" i="1"/>
  <c r="C50" i="1" s="1"/>
  <c r="A52" i="1" l="1"/>
  <c r="D51" i="1"/>
  <c r="B51" i="1"/>
  <c r="C51" i="1" s="1"/>
  <c r="A53" i="1" l="1"/>
  <c r="D52" i="1"/>
  <c r="B52" i="1"/>
  <c r="C52" i="1" s="1"/>
  <c r="A54" i="1" l="1"/>
  <c r="B53" i="1"/>
  <c r="D53" i="1"/>
  <c r="C53" i="1" l="1"/>
  <c r="A55" i="1"/>
  <c r="B54" i="1"/>
  <c r="D54" i="1"/>
  <c r="C54" i="1" l="1"/>
  <c r="A56" i="1"/>
  <c r="D55" i="1"/>
  <c r="B55" i="1"/>
  <c r="C55" i="1" l="1"/>
  <c r="A57" i="1"/>
  <c r="B56" i="1"/>
  <c r="D56" i="1"/>
  <c r="C56" i="1" l="1"/>
  <c r="A58" i="1"/>
  <c r="B57" i="1"/>
  <c r="D57" i="1"/>
  <c r="C57" i="1" l="1"/>
  <c r="A59" i="1"/>
  <c r="D58" i="1"/>
  <c r="B58" i="1"/>
  <c r="C58" i="1" s="1"/>
  <c r="A60" i="1" l="1"/>
  <c r="D59" i="1"/>
  <c r="B59" i="1"/>
  <c r="C59" i="1" s="1"/>
  <c r="A61" i="1" l="1"/>
  <c r="B60" i="1"/>
  <c r="D60" i="1"/>
  <c r="C60" i="1" l="1"/>
  <c r="A62" i="1"/>
  <c r="D61" i="1"/>
  <c r="B61" i="1"/>
  <c r="C61" i="1" s="1"/>
  <c r="A63" i="1" l="1"/>
  <c r="D62" i="1"/>
  <c r="B62" i="1"/>
  <c r="C62" i="1" s="1"/>
  <c r="A64" i="1" l="1"/>
  <c r="B63" i="1"/>
  <c r="D63" i="1"/>
  <c r="C63" i="1" l="1"/>
  <c r="A65" i="1"/>
  <c r="D64" i="1"/>
  <c r="B64" i="1"/>
  <c r="C64" i="1" s="1"/>
  <c r="A66" i="1" l="1"/>
  <c r="B65" i="1"/>
  <c r="D65" i="1"/>
  <c r="C65" i="1" l="1"/>
  <c r="A67" i="1"/>
  <c r="B66" i="1"/>
  <c r="D66" i="1"/>
  <c r="C66" i="1" l="1"/>
  <c r="A68" i="1"/>
  <c r="B67" i="1"/>
  <c r="D67" i="1"/>
  <c r="C67" i="1" l="1"/>
  <c r="A69" i="1"/>
  <c r="D68" i="1"/>
  <c r="B68" i="1"/>
  <c r="C68" i="1" s="1"/>
  <c r="A70" i="1" l="1"/>
  <c r="D69" i="1"/>
  <c r="B69" i="1"/>
  <c r="C69" i="1" s="1"/>
  <c r="A71" i="1" l="1"/>
  <c r="B70" i="1"/>
  <c r="D70" i="1"/>
  <c r="C70" i="1" l="1"/>
  <c r="A72" i="1"/>
  <c r="D71" i="1"/>
  <c r="B71" i="1"/>
  <c r="A73" i="1" l="1"/>
  <c r="D72" i="1"/>
  <c r="B72" i="1"/>
  <c r="C71" i="1"/>
  <c r="A74" i="1" l="1"/>
  <c r="B73" i="1"/>
  <c r="D73" i="1"/>
  <c r="C72" i="1"/>
  <c r="C73" i="1" l="1"/>
  <c r="A75" i="1"/>
  <c r="D74" i="1"/>
  <c r="B74" i="1"/>
  <c r="C74" i="1" l="1"/>
  <c r="A76" i="1"/>
  <c r="D75" i="1"/>
  <c r="B75" i="1"/>
  <c r="C75" i="1" s="1"/>
  <c r="A77" i="1" l="1"/>
  <c r="D76" i="1"/>
  <c r="B76" i="1"/>
  <c r="C76" i="1" s="1"/>
  <c r="A78" i="1" l="1"/>
  <c r="D77" i="1"/>
  <c r="B77" i="1"/>
  <c r="C77" i="1" s="1"/>
  <c r="A79" i="1" l="1"/>
  <c r="D78" i="1"/>
  <c r="B78" i="1"/>
  <c r="C78" i="1" s="1"/>
  <c r="A80" i="1" l="1"/>
  <c r="D79" i="1"/>
  <c r="B79" i="1"/>
  <c r="C79" i="1" s="1"/>
  <c r="A81" i="1" l="1"/>
  <c r="B80" i="1"/>
  <c r="D80" i="1"/>
  <c r="C80" i="1" l="1"/>
  <c r="A82" i="1"/>
  <c r="B81" i="1"/>
  <c r="D81" i="1"/>
  <c r="C81" i="1" l="1"/>
  <c r="A83" i="1"/>
  <c r="D82" i="1"/>
  <c r="B82" i="1"/>
  <c r="C82" i="1" s="1"/>
  <c r="A84" i="1" l="1"/>
  <c r="B83" i="1"/>
  <c r="D83" i="1"/>
  <c r="A85" i="1" l="1"/>
  <c r="D84" i="1"/>
  <c r="B84" i="1"/>
  <c r="C84" i="1" s="1"/>
  <c r="C83" i="1"/>
  <c r="A86" i="1" l="1"/>
  <c r="D85" i="1"/>
  <c r="B85" i="1"/>
  <c r="C85" i="1" s="1"/>
  <c r="A87" i="1" l="1"/>
  <c r="D86" i="1"/>
  <c r="B86" i="1"/>
  <c r="C86" i="1" s="1"/>
  <c r="A88" i="1" l="1"/>
  <c r="B87" i="1"/>
  <c r="D87" i="1"/>
  <c r="C87" i="1" l="1"/>
  <c r="A89" i="1"/>
  <c r="B88" i="1"/>
  <c r="D88" i="1"/>
  <c r="A90" i="1" l="1"/>
  <c r="D89" i="1"/>
  <c r="B89" i="1"/>
  <c r="C88" i="1"/>
  <c r="C89" i="1" l="1"/>
  <c r="A91" i="1"/>
  <c r="B90" i="1"/>
  <c r="D90" i="1"/>
  <c r="C90" i="1" l="1"/>
  <c r="A92" i="1"/>
  <c r="D91" i="1"/>
  <c r="B91" i="1"/>
  <c r="C91" i="1" l="1"/>
  <c r="A93" i="1"/>
  <c r="D92" i="1"/>
  <c r="B92" i="1"/>
  <c r="C92" i="1" s="1"/>
  <c r="A94" i="1" l="1"/>
  <c r="D93" i="1"/>
  <c r="B93" i="1"/>
  <c r="C93" i="1" l="1"/>
  <c r="A95" i="1"/>
  <c r="D94" i="1"/>
  <c r="B94" i="1"/>
  <c r="C94" i="1" l="1"/>
  <c r="A96" i="1"/>
  <c r="B95" i="1"/>
  <c r="D95" i="1"/>
  <c r="C95" i="1" l="1"/>
  <c r="A97" i="1"/>
  <c r="B96" i="1"/>
  <c r="D96" i="1"/>
  <c r="C96" i="1" l="1"/>
  <c r="A98" i="1"/>
  <c r="D97" i="1"/>
  <c r="B97" i="1"/>
  <c r="C97" i="1" s="1"/>
  <c r="A99" i="1" l="1"/>
  <c r="D98" i="1"/>
  <c r="B98" i="1"/>
  <c r="C98" i="1" l="1"/>
  <c r="A100" i="1"/>
  <c r="B99" i="1"/>
  <c r="D99" i="1"/>
  <c r="C99" i="1" l="1"/>
  <c r="A101" i="1"/>
  <c r="D100" i="1"/>
  <c r="B100" i="1"/>
  <c r="C100" i="1" l="1"/>
  <c r="A102" i="1"/>
  <c r="D101" i="1"/>
  <c r="B101" i="1"/>
  <c r="C101" i="1" l="1"/>
  <c r="A103" i="1"/>
  <c r="D102" i="1"/>
  <c r="B102" i="1"/>
  <c r="C102" i="1" s="1"/>
  <c r="A104" i="1" l="1"/>
  <c r="B103" i="1"/>
  <c r="D103" i="1"/>
  <c r="C103" i="1" l="1"/>
  <c r="A105" i="1"/>
  <c r="B104" i="1"/>
  <c r="D104" i="1"/>
  <c r="C104" i="1" l="1"/>
  <c r="A106" i="1"/>
  <c r="D105" i="1"/>
  <c r="B105" i="1"/>
  <c r="C105" i="1" s="1"/>
  <c r="A107" i="1" l="1"/>
  <c r="D106" i="1"/>
  <c r="B106" i="1"/>
  <c r="C106" i="1" s="1"/>
  <c r="A108" i="1" l="1"/>
  <c r="D107" i="1"/>
  <c r="B107" i="1"/>
  <c r="C107" i="1" l="1"/>
  <c r="A109" i="1"/>
  <c r="D108" i="1"/>
  <c r="B108" i="1"/>
  <c r="C108" i="1" s="1"/>
  <c r="A110" i="1" l="1"/>
  <c r="D109" i="1"/>
  <c r="B109" i="1"/>
  <c r="C109" i="1" s="1"/>
  <c r="A111" i="1" l="1"/>
  <c r="D110" i="1"/>
  <c r="B110" i="1"/>
  <c r="C110" i="1" l="1"/>
  <c r="A112" i="1"/>
  <c r="D111" i="1"/>
  <c r="B111" i="1"/>
  <c r="C111" i="1" s="1"/>
  <c r="A113" i="1" l="1"/>
  <c r="B112" i="1"/>
  <c r="D112" i="1"/>
  <c r="C112" i="1" l="1"/>
  <c r="A114" i="1"/>
  <c r="D113" i="1"/>
  <c r="B113" i="1"/>
  <c r="A115" i="1" l="1"/>
  <c r="B114" i="1"/>
  <c r="D114" i="1"/>
  <c r="C113" i="1"/>
  <c r="C114" i="1" l="1"/>
  <c r="A116" i="1"/>
  <c r="D115" i="1"/>
  <c r="B115" i="1"/>
  <c r="A117" i="1" l="1"/>
  <c r="D116" i="1"/>
  <c r="B116" i="1"/>
  <c r="C115" i="1"/>
  <c r="C116" i="1" l="1"/>
  <c r="A118" i="1"/>
  <c r="D117" i="1"/>
  <c r="B117" i="1"/>
  <c r="C117" i="1" s="1"/>
  <c r="A119" i="1" l="1"/>
  <c r="B118" i="1"/>
  <c r="D118" i="1"/>
  <c r="C118" i="1" l="1"/>
  <c r="A120" i="1"/>
  <c r="D119" i="1"/>
  <c r="B119" i="1"/>
  <c r="C119" i="1" l="1"/>
  <c r="A121" i="1"/>
  <c r="D120" i="1"/>
  <c r="B120" i="1"/>
  <c r="C120" i="1" l="1"/>
  <c r="A122" i="1"/>
  <c r="D121" i="1"/>
  <c r="B121" i="1"/>
  <c r="C121" i="1" s="1"/>
  <c r="A123" i="1" l="1"/>
  <c r="D122" i="1"/>
  <c r="B122" i="1"/>
  <c r="C122" i="1" s="1"/>
  <c r="A124" i="1" l="1"/>
  <c r="B123" i="1"/>
  <c r="D123" i="1"/>
  <c r="A125" i="1" l="1"/>
  <c r="D124" i="1"/>
  <c r="B124" i="1"/>
  <c r="C123" i="1"/>
  <c r="A126" i="1" l="1"/>
  <c r="B125" i="1"/>
  <c r="D125" i="1"/>
  <c r="C124" i="1"/>
  <c r="A127" i="1" l="1"/>
  <c r="D126" i="1"/>
  <c r="B126" i="1"/>
  <c r="C126" i="1" s="1"/>
  <c r="C125" i="1"/>
  <c r="A128" i="1" l="1"/>
  <c r="D127" i="1"/>
  <c r="B127" i="1"/>
  <c r="C127" i="1" l="1"/>
  <c r="A129" i="1"/>
  <c r="B128" i="1"/>
  <c r="D128" i="1"/>
  <c r="C128" i="1" l="1"/>
  <c r="A130" i="1"/>
  <c r="D129" i="1"/>
  <c r="B129" i="1"/>
  <c r="C129" i="1" l="1"/>
  <c r="A131" i="1"/>
  <c r="B130" i="1"/>
  <c r="D130" i="1"/>
  <c r="C130" i="1" l="1"/>
  <c r="A132" i="1"/>
  <c r="D131" i="1"/>
  <c r="B131" i="1"/>
  <c r="C131" i="1" s="1"/>
  <c r="A133" i="1" l="1"/>
  <c r="B132" i="1"/>
  <c r="D132" i="1"/>
  <c r="C132" i="1" l="1"/>
  <c r="A134" i="1"/>
  <c r="D133" i="1"/>
  <c r="B133" i="1"/>
  <c r="C133" i="1" l="1"/>
  <c r="A135" i="1"/>
  <c r="D134" i="1"/>
  <c r="B134" i="1"/>
  <c r="C134" i="1" l="1"/>
  <c r="A136" i="1"/>
  <c r="D135" i="1"/>
  <c r="B135" i="1"/>
  <c r="C135" i="1" s="1"/>
  <c r="A137" i="1" l="1"/>
  <c r="B136" i="1"/>
  <c r="D136" i="1"/>
  <c r="A138" i="1" l="1"/>
  <c r="D137" i="1"/>
  <c r="B137" i="1"/>
  <c r="C136" i="1"/>
  <c r="C137" i="1" l="1"/>
  <c r="A139" i="1"/>
  <c r="B138" i="1"/>
  <c r="D138" i="1"/>
  <c r="C138" i="1" l="1"/>
  <c r="A140" i="1"/>
  <c r="D139" i="1"/>
  <c r="B139" i="1"/>
  <c r="C139" i="1" s="1"/>
  <c r="A141" i="1" l="1"/>
  <c r="B140" i="1"/>
  <c r="D140" i="1"/>
  <c r="C140" i="1" l="1"/>
  <c r="A142" i="1"/>
  <c r="D141" i="1"/>
  <c r="B141" i="1"/>
  <c r="C141" i="1" s="1"/>
  <c r="A143" i="1" l="1"/>
  <c r="D142" i="1"/>
  <c r="B142" i="1"/>
  <c r="C142" i="1" s="1"/>
  <c r="A144" i="1" l="1"/>
  <c r="B143" i="1"/>
  <c r="D143" i="1"/>
  <c r="C143" i="1" l="1"/>
  <c r="A145" i="1"/>
  <c r="B144" i="1"/>
  <c r="D144" i="1"/>
  <c r="C144" i="1" l="1"/>
  <c r="A146" i="1"/>
  <c r="D145" i="1"/>
  <c r="B145" i="1"/>
  <c r="C145" i="1" s="1"/>
  <c r="A147" i="1" l="1"/>
  <c r="B146" i="1"/>
  <c r="D146" i="1"/>
  <c r="C146" i="1" l="1"/>
  <c r="A148" i="1"/>
  <c r="B147" i="1"/>
  <c r="D147" i="1"/>
  <c r="C147" i="1" l="1"/>
  <c r="A149" i="1"/>
  <c r="B148" i="1"/>
  <c r="D148" i="1"/>
  <c r="C148" i="1" l="1"/>
  <c r="A150" i="1"/>
  <c r="D149" i="1"/>
  <c r="B149" i="1"/>
  <c r="C149" i="1" s="1"/>
  <c r="A151" i="1" l="1"/>
  <c r="D150" i="1"/>
  <c r="B150" i="1"/>
  <c r="C150" i="1" l="1"/>
  <c r="A152" i="1"/>
  <c r="B151" i="1"/>
  <c r="D151" i="1"/>
  <c r="C151" i="1" l="1"/>
  <c r="A153" i="1"/>
  <c r="D152" i="1"/>
  <c r="B152" i="1"/>
  <c r="C152" i="1" s="1"/>
  <c r="A154" i="1" l="1"/>
  <c r="D153" i="1"/>
  <c r="B153" i="1"/>
  <c r="C153" i="1" l="1"/>
  <c r="A155" i="1"/>
  <c r="D154" i="1"/>
  <c r="B154" i="1"/>
  <c r="C154" i="1" s="1"/>
  <c r="A156" i="1" l="1"/>
  <c r="D155" i="1"/>
  <c r="B155" i="1"/>
  <c r="C155" i="1" l="1"/>
  <c r="A157" i="1"/>
  <c r="B156" i="1"/>
  <c r="D156" i="1"/>
  <c r="C156" i="1" l="1"/>
  <c r="A158" i="1"/>
  <c r="B157" i="1"/>
  <c r="D157" i="1"/>
  <c r="C157" i="1" l="1"/>
  <c r="A159" i="1"/>
  <c r="D158" i="1"/>
  <c r="B158" i="1"/>
  <c r="C158" i="1" s="1"/>
  <c r="A160" i="1" l="1"/>
  <c r="B159" i="1"/>
  <c r="D159" i="1"/>
  <c r="C159" i="1" l="1"/>
  <c r="A161" i="1"/>
  <c r="D160" i="1"/>
  <c r="B160" i="1"/>
  <c r="C160" i="1" l="1"/>
  <c r="A162" i="1"/>
  <c r="B161" i="1"/>
  <c r="D161" i="1"/>
  <c r="C161" i="1" l="1"/>
  <c r="A163" i="1"/>
  <c r="D162" i="1"/>
  <c r="B162" i="1"/>
  <c r="C162" i="1" s="1"/>
  <c r="A164" i="1" l="1"/>
  <c r="D163" i="1"/>
  <c r="B163" i="1"/>
  <c r="C163" i="1" s="1"/>
  <c r="A165" i="1" l="1"/>
  <c r="B164" i="1"/>
  <c r="D164" i="1"/>
  <c r="C164" i="1" l="1"/>
  <c r="A166" i="1"/>
  <c r="D165" i="1"/>
  <c r="B165" i="1"/>
  <c r="C165" i="1" l="1"/>
  <c r="A167" i="1"/>
  <c r="D166" i="1"/>
  <c r="B166" i="1"/>
  <c r="C166" i="1" l="1"/>
  <c r="A168" i="1"/>
  <c r="B167" i="1"/>
  <c r="D167" i="1"/>
  <c r="C167" i="1" l="1"/>
  <c r="A169" i="1"/>
  <c r="D168" i="1"/>
  <c r="B168" i="1"/>
  <c r="C168" i="1" l="1"/>
  <c r="A170" i="1"/>
  <c r="B169" i="1"/>
  <c r="D169" i="1"/>
  <c r="C169" i="1" l="1"/>
  <c r="A171" i="1"/>
  <c r="D170" i="1"/>
  <c r="B170" i="1"/>
  <c r="C170" i="1" l="1"/>
  <c r="A172" i="1"/>
  <c r="B171" i="1"/>
  <c r="D171" i="1"/>
  <c r="C171" i="1" l="1"/>
  <c r="A173" i="1"/>
  <c r="D172" i="1"/>
  <c r="B172" i="1"/>
  <c r="C172" i="1" l="1"/>
  <c r="A174" i="1"/>
  <c r="D173" i="1"/>
  <c r="B173" i="1"/>
  <c r="C173" i="1" l="1"/>
  <c r="A175" i="1"/>
  <c r="B174" i="1"/>
  <c r="D174" i="1"/>
  <c r="C174" i="1" l="1"/>
  <c r="A176" i="1"/>
  <c r="B175" i="1"/>
  <c r="D175" i="1"/>
  <c r="C175" i="1" l="1"/>
  <c r="A177" i="1"/>
  <c r="B176" i="1"/>
  <c r="D176" i="1"/>
  <c r="C176" i="1" l="1"/>
  <c r="A178" i="1"/>
  <c r="B177" i="1"/>
  <c r="D177" i="1"/>
  <c r="C177" i="1" l="1"/>
  <c r="A179" i="1"/>
  <c r="D178" i="1"/>
  <c r="B178" i="1"/>
  <c r="C178" i="1" s="1"/>
  <c r="A180" i="1" l="1"/>
  <c r="D179" i="1"/>
  <c r="B179" i="1"/>
  <c r="C179" i="1" l="1"/>
  <c r="A181" i="1"/>
  <c r="D180" i="1"/>
  <c r="B180" i="1"/>
  <c r="C180" i="1" s="1"/>
  <c r="A182" i="1" l="1"/>
  <c r="D181" i="1"/>
  <c r="B181" i="1"/>
  <c r="C181" i="1" l="1"/>
  <c r="A183" i="1"/>
  <c r="B182" i="1"/>
  <c r="D182" i="1"/>
  <c r="C182" i="1" l="1"/>
  <c r="A184" i="1"/>
  <c r="D183" i="1"/>
  <c r="B183" i="1"/>
  <c r="C183" i="1" l="1"/>
  <c r="A185" i="1"/>
  <c r="D184" i="1"/>
  <c r="B184" i="1"/>
  <c r="C184" i="1" s="1"/>
  <c r="A186" i="1" l="1"/>
  <c r="B185" i="1"/>
  <c r="D185" i="1"/>
  <c r="C185" i="1" l="1"/>
  <c r="A187" i="1"/>
  <c r="D186" i="1"/>
  <c r="B186" i="1"/>
  <c r="C186" i="1" l="1"/>
  <c r="A188" i="1"/>
  <c r="D187" i="1"/>
  <c r="B187" i="1"/>
  <c r="C187" i="1" l="1"/>
  <c r="A189" i="1"/>
  <c r="B188" i="1"/>
  <c r="D188" i="1"/>
  <c r="C188" i="1" l="1"/>
  <c r="A190" i="1"/>
  <c r="B189" i="1"/>
  <c r="D189" i="1"/>
  <c r="C189" i="1" l="1"/>
  <c r="A191" i="1"/>
  <c r="B190" i="1"/>
  <c r="D190" i="1"/>
  <c r="C190" i="1" l="1"/>
  <c r="A192" i="1"/>
  <c r="D191" i="1"/>
  <c r="B191" i="1"/>
  <c r="C191" i="1" s="1"/>
  <c r="A193" i="1" l="1"/>
  <c r="D192" i="1"/>
  <c r="B192" i="1"/>
  <c r="C192" i="1" l="1"/>
  <c r="A194" i="1"/>
  <c r="B193" i="1"/>
  <c r="D193" i="1"/>
  <c r="C193" i="1" l="1"/>
  <c r="A195" i="1"/>
  <c r="D194" i="1"/>
  <c r="B194" i="1"/>
  <c r="C194" i="1" s="1"/>
  <c r="A196" i="1" l="1"/>
  <c r="D195" i="1"/>
  <c r="B195" i="1"/>
  <c r="C195" i="1" l="1"/>
  <c r="A197" i="1"/>
  <c r="D196" i="1"/>
  <c r="B196" i="1"/>
  <c r="C196" i="1" l="1"/>
  <c r="A198" i="1"/>
  <c r="D197" i="1"/>
  <c r="B197" i="1"/>
  <c r="C197" i="1" l="1"/>
  <c r="A199" i="1"/>
  <c r="B198" i="1"/>
  <c r="D198" i="1"/>
  <c r="C198" i="1" l="1"/>
  <c r="A200" i="1"/>
  <c r="D199" i="1"/>
  <c r="B199" i="1"/>
  <c r="C199" i="1" s="1"/>
  <c r="A201" i="1" l="1"/>
  <c r="D200" i="1"/>
  <c r="B200" i="1"/>
  <c r="C200" i="1" s="1"/>
  <c r="A202" i="1" l="1"/>
  <c r="D201" i="1"/>
  <c r="B201" i="1"/>
  <c r="C201" i="1" l="1"/>
  <c r="A203" i="1"/>
  <c r="D202" i="1"/>
  <c r="B202" i="1"/>
  <c r="C202" i="1" l="1"/>
  <c r="A204" i="1"/>
  <c r="D203" i="1"/>
  <c r="B203" i="1"/>
  <c r="C203" i="1" l="1"/>
  <c r="A205" i="1"/>
  <c r="B204" i="1"/>
  <c r="D204" i="1"/>
  <c r="C204" i="1" l="1"/>
  <c r="A206" i="1"/>
  <c r="D205" i="1"/>
  <c r="B205" i="1"/>
  <c r="C205" i="1" s="1"/>
  <c r="A207" i="1" l="1"/>
  <c r="D206" i="1"/>
  <c r="B206" i="1"/>
  <c r="C206" i="1" l="1"/>
  <c r="A208" i="1"/>
  <c r="D207" i="1"/>
  <c r="B207" i="1"/>
  <c r="C207" i="1" s="1"/>
  <c r="A209" i="1" l="1"/>
  <c r="B208" i="1"/>
  <c r="D208" i="1"/>
  <c r="C208" i="1" l="1"/>
  <c r="A210" i="1"/>
  <c r="D209" i="1"/>
  <c r="B209" i="1"/>
  <c r="C209" i="1" l="1"/>
  <c r="A211" i="1"/>
  <c r="D210" i="1"/>
  <c r="B210" i="1"/>
  <c r="C210" i="1" s="1"/>
  <c r="A212" i="1" l="1"/>
  <c r="D211" i="1"/>
  <c r="B211" i="1"/>
  <c r="C211" i="1" l="1"/>
  <c r="A213" i="1"/>
  <c r="D212" i="1"/>
  <c r="B212" i="1"/>
  <c r="C212" i="1" l="1"/>
  <c r="A214" i="1"/>
  <c r="D213" i="1"/>
  <c r="B213" i="1"/>
  <c r="C213" i="1" s="1"/>
  <c r="A215" i="1" l="1"/>
  <c r="D214" i="1"/>
  <c r="B214" i="1"/>
  <c r="C214" i="1" l="1"/>
  <c r="A216" i="1"/>
  <c r="B215" i="1"/>
  <c r="D215" i="1"/>
  <c r="C215" i="1" l="1"/>
  <c r="A217" i="1"/>
  <c r="D216" i="1"/>
  <c r="B216" i="1"/>
  <c r="C216" i="1" s="1"/>
  <c r="A218" i="1" l="1"/>
  <c r="B217" i="1"/>
  <c r="D217" i="1"/>
  <c r="C217" i="1" l="1"/>
  <c r="A219" i="1"/>
  <c r="D218" i="1"/>
  <c r="B218" i="1"/>
  <c r="C218" i="1" s="1"/>
  <c r="A220" i="1" l="1"/>
  <c r="B219" i="1"/>
  <c r="D219" i="1"/>
  <c r="C219" i="1" l="1"/>
  <c r="A221" i="1"/>
  <c r="B220" i="1"/>
  <c r="D220" i="1"/>
  <c r="C220" i="1" l="1"/>
  <c r="A222" i="1"/>
  <c r="B221" i="1"/>
  <c r="D221" i="1"/>
  <c r="C221" i="1" l="1"/>
  <c r="B222" i="1"/>
  <c r="D222" i="1"/>
  <c r="C222" i="1" l="1"/>
</calcChain>
</file>

<file path=xl/sharedStrings.xml><?xml version="1.0" encoding="utf-8"?>
<sst xmlns="http://schemas.openxmlformats.org/spreadsheetml/2006/main" count="20" uniqueCount="20">
  <si>
    <t>Series RLC Circuit — Step Response (Underdamped)</t>
  </si>
  <si>
    <t>Voltage across R, L, and C vs. time after a step input V0 is applied at t = 0</t>
  </si>
  <si>
    <t>Circuit Parameters (editable inputs)</t>
  </si>
  <si>
    <t>Resistance, R (ohm)</t>
  </si>
  <si>
    <t>Inductance, L (H)</t>
  </si>
  <si>
    <t>Capacitance, C (F)</t>
  </si>
  <si>
    <t>Step input voltage, V0 (V)</t>
  </si>
  <si>
    <t>Derived Quantities</t>
  </si>
  <si>
    <t>Damping factor, alpha = R/(2L)  (1/s)</t>
  </si>
  <si>
    <t>Natural (resonant) frequency, omega0 = 1/sqrt(LC)  (rad/s)</t>
  </si>
  <si>
    <t>Damped natural frequency, omega_d = sqrt(omega0^2 - alpha^2)  (rad/s)</t>
  </si>
  <si>
    <t>Damped period, T_d = 2*PI()/omega_d  (s)</t>
  </si>
  <si>
    <t>Simulation end time, t_end = 2.5 * T_d  (s)</t>
  </si>
  <si>
    <t>Number of time steps, N</t>
  </si>
  <si>
    <t>Time step, dt = t_end / N  (s)</t>
  </si>
  <si>
    <t>Model: series RLC circuit, capacitor initially uncharged, zero initial current, step voltage V0 applied at t=0. Underdamped case assumed (R &lt; 2*sqrt(L/C)); check alpha &lt; omega0 above. KVL: V0 = vR(t) + vL(t) + vC(t) at every instant.</t>
  </si>
  <si>
    <t>Time (s)</t>
  </si>
  <si>
    <t>V_R - Voltage across Resistor (V)</t>
  </si>
  <si>
    <t>V_L - Voltage across Inductor (V)</t>
  </si>
  <si>
    <t>V_C - Voltage across Capacitor (V)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</si>
</sst>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000"/>
  </numFmts>
  <fonts count="7" x14ac:knownFonts="1">
    <font>
      <sz val="11"/>
      <color theme="1"/>
      <name val="Calibri"/>
      <family val="2"/>
      <charset val="1"/>
    </font>
    <font>
      <b/>
      <sz val="14"/>
      <name val="Arial"/>
      <family val="2"/>
    </font>
    <font>
      <i/>
      <sz val="10"/>
      <name val="Arial"/>
      <family val="2"/>
    </font>
    <font>
      <b/>
      <sz val="11"/>
      <name val="Arial"/>
      <family val="2"/>
    </font>
    <font>
      <sz val="11"/>
      <color rgb="FF000000"/>
      <name val="Arial"/>
      <family val="2"/>
    </font>
    <font>
      <sz val="11"/>
      <color rgb="FF0000FF"/>
      <name val="Arial"/>
      <family val="2"/>
    </font>
    <font>
      <i/>
      <sz val="9"/>
      <color rgb="FF666666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D9E1F2"/>
        <bgColor rgb="FFD9D9D9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6" fillId="0" borderId="0" xfId="0" applyFont="1" applyAlignment="1">
      <alignment vertical="top" wrapText="1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/>
    <xf numFmtId="164" fontId="4" fillId="0" borderId="1" xfId="0" applyNumberFormat="1" applyFont="1" applyBorder="1"/>
    <xf numFmtId="165" fontId="4" fillId="0" borderId="1" xfId="0" applyNumberFormat="1" applyFont="1" applyBorder="1"/>
    <xf numFmtId="0" fontId="3" fillId="3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33CCCC"/>
      <rgbColor rgb="FF98B855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Voltage Across R, L, and C vs. Time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'RLC Transient'!$B$21</c:f>
              <c:strCache>
                <c:ptCount val="1"/>
                <c:pt idx="0">
                  <c:v>V_R - Voltage across Resistor (V)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'RLC Transient'!$A$22:$A$222</c:f>
              <c:numCache>
                <c:formatCode>0.000000</c:formatCode>
                <c:ptCount val="201"/>
                <c:pt idx="0">
                  <c:v>0</c:v>
                </c:pt>
                <c:pt idx="1">
                  <c:v>4.0557786759736126E-4</c:v>
                </c:pt>
                <c:pt idx="2">
                  <c:v>8.1115573519472252E-4</c:v>
                </c:pt>
                <c:pt idx="3">
                  <c:v>1.2167336027920838E-3</c:v>
                </c:pt>
                <c:pt idx="4">
                  <c:v>1.622311470389445E-3</c:v>
                </c:pt>
                <c:pt idx="5">
                  <c:v>2.0278893379868062E-3</c:v>
                </c:pt>
                <c:pt idx="6">
                  <c:v>2.4334672055841677E-3</c:v>
                </c:pt>
                <c:pt idx="7">
                  <c:v>2.8390450731815291E-3</c:v>
                </c:pt>
                <c:pt idx="8">
                  <c:v>3.2446229407788905E-3</c:v>
                </c:pt>
                <c:pt idx="9">
                  <c:v>3.6502008083762519E-3</c:v>
                </c:pt>
                <c:pt idx="10">
                  <c:v>4.0557786759736134E-3</c:v>
                </c:pt>
                <c:pt idx="11">
                  <c:v>4.4613565435709743E-3</c:v>
                </c:pt>
                <c:pt idx="12">
                  <c:v>4.8669344111683353E-3</c:v>
                </c:pt>
                <c:pt idx="13">
                  <c:v>5.2725122787656963E-3</c:v>
                </c:pt>
                <c:pt idx="14">
                  <c:v>5.6780901463630573E-3</c:v>
                </c:pt>
                <c:pt idx="15">
                  <c:v>6.0836680139604183E-3</c:v>
                </c:pt>
                <c:pt idx="16">
                  <c:v>6.4892458815577793E-3</c:v>
                </c:pt>
                <c:pt idx="17">
                  <c:v>6.8948237491551403E-3</c:v>
                </c:pt>
                <c:pt idx="18">
                  <c:v>7.3004016167525013E-3</c:v>
                </c:pt>
                <c:pt idx="19">
                  <c:v>7.7059794843498623E-3</c:v>
                </c:pt>
                <c:pt idx="20">
                  <c:v>8.1115573519472232E-3</c:v>
                </c:pt>
                <c:pt idx="21">
                  <c:v>8.5171352195445842E-3</c:v>
                </c:pt>
                <c:pt idx="22">
                  <c:v>8.9227130871419452E-3</c:v>
                </c:pt>
                <c:pt idx="23">
                  <c:v>9.3282909547393062E-3</c:v>
                </c:pt>
                <c:pt idx="24">
                  <c:v>9.7338688223366672E-3</c:v>
                </c:pt>
                <c:pt idx="25">
                  <c:v>1.0139446689934028E-2</c:v>
                </c:pt>
                <c:pt idx="26">
                  <c:v>1.0545024557531389E-2</c:v>
                </c:pt>
                <c:pt idx="27">
                  <c:v>1.095060242512875E-2</c:v>
                </c:pt>
                <c:pt idx="28">
                  <c:v>1.1356180292726111E-2</c:v>
                </c:pt>
                <c:pt idx="29">
                  <c:v>1.1761758160323472E-2</c:v>
                </c:pt>
                <c:pt idx="30">
                  <c:v>1.2167336027920833E-2</c:v>
                </c:pt>
                <c:pt idx="31">
                  <c:v>1.2572913895518194E-2</c:v>
                </c:pt>
                <c:pt idx="32">
                  <c:v>1.2978491763115555E-2</c:v>
                </c:pt>
                <c:pt idx="33">
                  <c:v>1.3384069630712916E-2</c:v>
                </c:pt>
                <c:pt idx="34">
                  <c:v>1.3789647498310277E-2</c:v>
                </c:pt>
                <c:pt idx="35">
                  <c:v>1.4195225365907638E-2</c:v>
                </c:pt>
                <c:pt idx="36">
                  <c:v>1.4600803233504999E-2</c:v>
                </c:pt>
                <c:pt idx="37">
                  <c:v>1.500638110110236E-2</c:v>
                </c:pt>
                <c:pt idx="38">
                  <c:v>1.5411958968699721E-2</c:v>
                </c:pt>
                <c:pt idx="39">
                  <c:v>1.5817536836297084E-2</c:v>
                </c:pt>
                <c:pt idx="40">
                  <c:v>1.6223114703894446E-2</c:v>
                </c:pt>
                <c:pt idx="41">
                  <c:v>1.6628692571491809E-2</c:v>
                </c:pt>
                <c:pt idx="42">
                  <c:v>1.7034270439089172E-2</c:v>
                </c:pt>
                <c:pt idx="43">
                  <c:v>1.7439848306686535E-2</c:v>
                </c:pt>
                <c:pt idx="44">
                  <c:v>1.7845426174283897E-2</c:v>
                </c:pt>
                <c:pt idx="45">
                  <c:v>1.825100404188126E-2</c:v>
                </c:pt>
                <c:pt idx="46">
                  <c:v>1.8656581909478623E-2</c:v>
                </c:pt>
                <c:pt idx="47">
                  <c:v>1.9062159777075986E-2</c:v>
                </c:pt>
                <c:pt idx="48">
                  <c:v>1.9467737644673348E-2</c:v>
                </c:pt>
                <c:pt idx="49">
                  <c:v>1.9873315512270711E-2</c:v>
                </c:pt>
                <c:pt idx="50">
                  <c:v>2.0278893379868074E-2</c:v>
                </c:pt>
                <c:pt idx="51">
                  <c:v>2.0684471247465436E-2</c:v>
                </c:pt>
                <c:pt idx="52">
                  <c:v>2.1090049115062799E-2</c:v>
                </c:pt>
                <c:pt idx="53">
                  <c:v>2.1495626982660162E-2</c:v>
                </c:pt>
                <c:pt idx="54">
                  <c:v>2.1901204850257525E-2</c:v>
                </c:pt>
                <c:pt idx="55">
                  <c:v>2.2306782717854887E-2</c:v>
                </c:pt>
                <c:pt idx="56">
                  <c:v>2.271236058545225E-2</c:v>
                </c:pt>
                <c:pt idx="57">
                  <c:v>2.3117938453049613E-2</c:v>
                </c:pt>
                <c:pt idx="58">
                  <c:v>2.3523516320646976E-2</c:v>
                </c:pt>
                <c:pt idx="59">
                  <c:v>2.3929094188244338E-2</c:v>
                </c:pt>
                <c:pt idx="60">
                  <c:v>2.4334672055841701E-2</c:v>
                </c:pt>
                <c:pt idx="61">
                  <c:v>2.4740249923439064E-2</c:v>
                </c:pt>
                <c:pt idx="62">
                  <c:v>2.5145827791036426E-2</c:v>
                </c:pt>
                <c:pt idx="63">
                  <c:v>2.5551405658633789E-2</c:v>
                </c:pt>
                <c:pt idx="64">
                  <c:v>2.5956983526231152E-2</c:v>
                </c:pt>
                <c:pt idx="65">
                  <c:v>2.6362561393828515E-2</c:v>
                </c:pt>
                <c:pt idx="66">
                  <c:v>2.6768139261425877E-2</c:v>
                </c:pt>
                <c:pt idx="67">
                  <c:v>2.717371712902324E-2</c:v>
                </c:pt>
                <c:pt idx="68">
                  <c:v>2.7579294996620603E-2</c:v>
                </c:pt>
                <c:pt idx="69">
                  <c:v>2.7984872864217965E-2</c:v>
                </c:pt>
                <c:pt idx="70">
                  <c:v>2.8390450731815328E-2</c:v>
                </c:pt>
                <c:pt idx="71">
                  <c:v>2.8796028599412691E-2</c:v>
                </c:pt>
                <c:pt idx="72">
                  <c:v>2.9201606467010054E-2</c:v>
                </c:pt>
                <c:pt idx="73">
                  <c:v>2.9607184334607416E-2</c:v>
                </c:pt>
                <c:pt idx="74">
                  <c:v>3.0012762202204779E-2</c:v>
                </c:pt>
                <c:pt idx="75">
                  <c:v>3.0418340069802142E-2</c:v>
                </c:pt>
                <c:pt idx="76">
                  <c:v>3.0823917937399505E-2</c:v>
                </c:pt>
                <c:pt idx="77">
                  <c:v>3.1229495804996867E-2</c:v>
                </c:pt>
                <c:pt idx="78">
                  <c:v>3.163507367259423E-2</c:v>
                </c:pt>
                <c:pt idx="79">
                  <c:v>3.2040651540191589E-2</c:v>
                </c:pt>
                <c:pt idx="80">
                  <c:v>3.2446229407788948E-2</c:v>
                </c:pt>
                <c:pt idx="81">
                  <c:v>3.2851807275386308E-2</c:v>
                </c:pt>
                <c:pt idx="82">
                  <c:v>3.3257385142983667E-2</c:v>
                </c:pt>
                <c:pt idx="83">
                  <c:v>3.3662963010581026E-2</c:v>
                </c:pt>
                <c:pt idx="84">
                  <c:v>3.4068540878178386E-2</c:v>
                </c:pt>
                <c:pt idx="85">
                  <c:v>3.4474118745775745E-2</c:v>
                </c:pt>
                <c:pt idx="86">
                  <c:v>3.4879696613373104E-2</c:v>
                </c:pt>
                <c:pt idx="87">
                  <c:v>3.5285274480970463E-2</c:v>
                </c:pt>
                <c:pt idx="88">
                  <c:v>3.5690852348567823E-2</c:v>
                </c:pt>
                <c:pt idx="89">
                  <c:v>3.6096430216165182E-2</c:v>
                </c:pt>
                <c:pt idx="90">
                  <c:v>3.6502008083762541E-2</c:v>
                </c:pt>
                <c:pt idx="91">
                  <c:v>3.69075859513599E-2</c:v>
                </c:pt>
                <c:pt idx="92">
                  <c:v>3.731316381895726E-2</c:v>
                </c:pt>
                <c:pt idx="93">
                  <c:v>3.7718741686554619E-2</c:v>
                </c:pt>
                <c:pt idx="94">
                  <c:v>3.8124319554151978E-2</c:v>
                </c:pt>
                <c:pt idx="95">
                  <c:v>3.8529897421749337E-2</c:v>
                </c:pt>
                <c:pt idx="96">
                  <c:v>3.8935475289346697E-2</c:v>
                </c:pt>
                <c:pt idx="97">
                  <c:v>3.9341053156944056E-2</c:v>
                </c:pt>
                <c:pt idx="98">
                  <c:v>3.9746631024541415E-2</c:v>
                </c:pt>
                <c:pt idx="99">
                  <c:v>4.0152208892138774E-2</c:v>
                </c:pt>
                <c:pt idx="100">
                  <c:v>4.0557786759736134E-2</c:v>
                </c:pt>
                <c:pt idx="101">
                  <c:v>4.0963364627333493E-2</c:v>
                </c:pt>
                <c:pt idx="102">
                  <c:v>4.1368942494930852E-2</c:v>
                </c:pt>
                <c:pt idx="103">
                  <c:v>4.1774520362528211E-2</c:v>
                </c:pt>
                <c:pt idx="104">
                  <c:v>4.2180098230125571E-2</c:v>
                </c:pt>
                <c:pt idx="105">
                  <c:v>4.258567609772293E-2</c:v>
                </c:pt>
                <c:pt idx="106">
                  <c:v>4.2991253965320289E-2</c:v>
                </c:pt>
                <c:pt idx="107">
                  <c:v>4.3396831832917648E-2</c:v>
                </c:pt>
                <c:pt idx="108">
                  <c:v>4.3802409700515008E-2</c:v>
                </c:pt>
                <c:pt idx="109">
                  <c:v>4.4207987568112367E-2</c:v>
                </c:pt>
                <c:pt idx="110">
                  <c:v>4.4613565435709726E-2</c:v>
                </c:pt>
                <c:pt idx="111">
                  <c:v>4.5019143303307085E-2</c:v>
                </c:pt>
                <c:pt idx="112">
                  <c:v>4.5424721170904445E-2</c:v>
                </c:pt>
                <c:pt idx="113">
                  <c:v>4.5830299038501804E-2</c:v>
                </c:pt>
                <c:pt idx="114">
                  <c:v>4.6235876906099163E-2</c:v>
                </c:pt>
                <c:pt idx="115">
                  <c:v>4.6641454773696522E-2</c:v>
                </c:pt>
                <c:pt idx="116">
                  <c:v>4.7047032641293882E-2</c:v>
                </c:pt>
                <c:pt idx="117">
                  <c:v>4.7452610508891241E-2</c:v>
                </c:pt>
                <c:pt idx="118">
                  <c:v>4.78581883764886E-2</c:v>
                </c:pt>
                <c:pt idx="119">
                  <c:v>4.8263766244085959E-2</c:v>
                </c:pt>
                <c:pt idx="120">
                  <c:v>4.8669344111683319E-2</c:v>
                </c:pt>
                <c:pt idx="121">
                  <c:v>4.9074921979280678E-2</c:v>
                </c:pt>
                <c:pt idx="122">
                  <c:v>4.9480499846878037E-2</c:v>
                </c:pt>
                <c:pt idx="123">
                  <c:v>4.9886077714475396E-2</c:v>
                </c:pt>
                <c:pt idx="124">
                  <c:v>5.0291655582072756E-2</c:v>
                </c:pt>
                <c:pt idx="125">
                  <c:v>5.0697233449670115E-2</c:v>
                </c:pt>
                <c:pt idx="126">
                  <c:v>5.1102811317267474E-2</c:v>
                </c:pt>
                <c:pt idx="127">
                  <c:v>5.1508389184864833E-2</c:v>
                </c:pt>
                <c:pt idx="128">
                  <c:v>5.1913967052462193E-2</c:v>
                </c:pt>
                <c:pt idx="129">
                  <c:v>5.2319544920059552E-2</c:v>
                </c:pt>
                <c:pt idx="130">
                  <c:v>5.2725122787656911E-2</c:v>
                </c:pt>
                <c:pt idx="131">
                  <c:v>5.313070065525427E-2</c:v>
                </c:pt>
                <c:pt idx="132">
                  <c:v>5.353627852285163E-2</c:v>
                </c:pt>
                <c:pt idx="133">
                  <c:v>5.3941856390448989E-2</c:v>
                </c:pt>
                <c:pt idx="134">
                  <c:v>5.4347434258046348E-2</c:v>
                </c:pt>
                <c:pt idx="135">
                  <c:v>5.4753012125643707E-2</c:v>
                </c:pt>
                <c:pt idx="136">
                  <c:v>5.5158589993241067E-2</c:v>
                </c:pt>
                <c:pt idx="137">
                  <c:v>5.5564167860838426E-2</c:v>
                </c:pt>
                <c:pt idx="138">
                  <c:v>5.5969745728435785E-2</c:v>
                </c:pt>
                <c:pt idx="139">
                  <c:v>5.6375323596033144E-2</c:v>
                </c:pt>
                <c:pt idx="140">
                  <c:v>5.6780901463630504E-2</c:v>
                </c:pt>
                <c:pt idx="141">
                  <c:v>5.7186479331227863E-2</c:v>
                </c:pt>
                <c:pt idx="142">
                  <c:v>5.7592057198825222E-2</c:v>
                </c:pt>
                <c:pt idx="143">
                  <c:v>5.7997635066422581E-2</c:v>
                </c:pt>
                <c:pt idx="144">
                  <c:v>5.8403212934019941E-2</c:v>
                </c:pt>
                <c:pt idx="145">
                  <c:v>5.88087908016173E-2</c:v>
                </c:pt>
                <c:pt idx="146">
                  <c:v>5.9214368669214659E-2</c:v>
                </c:pt>
                <c:pt idx="147">
                  <c:v>5.9619946536812019E-2</c:v>
                </c:pt>
                <c:pt idx="148">
                  <c:v>6.0025524404409378E-2</c:v>
                </c:pt>
                <c:pt idx="149">
                  <c:v>6.0431102272006737E-2</c:v>
                </c:pt>
                <c:pt idx="150">
                  <c:v>6.0836680139604096E-2</c:v>
                </c:pt>
                <c:pt idx="151">
                  <c:v>6.1242258007201456E-2</c:v>
                </c:pt>
                <c:pt idx="152">
                  <c:v>6.1647835874798815E-2</c:v>
                </c:pt>
                <c:pt idx="153">
                  <c:v>6.2053413742396174E-2</c:v>
                </c:pt>
                <c:pt idx="154">
                  <c:v>6.2458991609993533E-2</c:v>
                </c:pt>
                <c:pt idx="155">
                  <c:v>6.2864569477590893E-2</c:v>
                </c:pt>
                <c:pt idx="156">
                  <c:v>6.3270147345188252E-2</c:v>
                </c:pt>
                <c:pt idx="157">
                  <c:v>6.3675725212785611E-2</c:v>
                </c:pt>
                <c:pt idx="158">
                  <c:v>6.408130308038297E-2</c:v>
                </c:pt>
                <c:pt idx="159">
                  <c:v>6.448688094798033E-2</c:v>
                </c:pt>
                <c:pt idx="160">
                  <c:v>6.4892458815577689E-2</c:v>
                </c:pt>
                <c:pt idx="161">
                  <c:v>6.5298036683175048E-2</c:v>
                </c:pt>
                <c:pt idx="162">
                  <c:v>6.5703614550772407E-2</c:v>
                </c:pt>
                <c:pt idx="163">
                  <c:v>6.6109192418369767E-2</c:v>
                </c:pt>
                <c:pt idx="164">
                  <c:v>6.6514770285967126E-2</c:v>
                </c:pt>
                <c:pt idx="165">
                  <c:v>6.6920348153564485E-2</c:v>
                </c:pt>
                <c:pt idx="166">
                  <c:v>6.7325926021161844E-2</c:v>
                </c:pt>
                <c:pt idx="167">
                  <c:v>6.7731503888759204E-2</c:v>
                </c:pt>
                <c:pt idx="168">
                  <c:v>6.8137081756356563E-2</c:v>
                </c:pt>
                <c:pt idx="169">
                  <c:v>6.8542659623953922E-2</c:v>
                </c:pt>
                <c:pt idx="170">
                  <c:v>6.8948237491551281E-2</c:v>
                </c:pt>
                <c:pt idx="171">
                  <c:v>6.9353815359148641E-2</c:v>
                </c:pt>
                <c:pt idx="172">
                  <c:v>6.9759393226746E-2</c:v>
                </c:pt>
                <c:pt idx="173">
                  <c:v>7.0164971094343359E-2</c:v>
                </c:pt>
                <c:pt idx="174">
                  <c:v>7.0570548961940718E-2</c:v>
                </c:pt>
                <c:pt idx="175">
                  <c:v>7.0976126829538078E-2</c:v>
                </c:pt>
                <c:pt idx="176">
                  <c:v>7.1381704697135437E-2</c:v>
                </c:pt>
                <c:pt idx="177">
                  <c:v>7.1787282564732796E-2</c:v>
                </c:pt>
                <c:pt idx="178">
                  <c:v>7.2192860432330155E-2</c:v>
                </c:pt>
                <c:pt idx="179">
                  <c:v>7.2598438299927515E-2</c:v>
                </c:pt>
                <c:pt idx="180">
                  <c:v>7.3004016167524874E-2</c:v>
                </c:pt>
                <c:pt idx="181">
                  <c:v>7.3409594035122233E-2</c:v>
                </c:pt>
                <c:pt idx="182">
                  <c:v>7.3815171902719592E-2</c:v>
                </c:pt>
                <c:pt idx="183">
                  <c:v>7.4220749770316952E-2</c:v>
                </c:pt>
                <c:pt idx="184">
                  <c:v>7.4626327637914311E-2</c:v>
                </c:pt>
                <c:pt idx="185">
                  <c:v>7.503190550551167E-2</c:v>
                </c:pt>
                <c:pt idx="186">
                  <c:v>7.5437483373109029E-2</c:v>
                </c:pt>
                <c:pt idx="187">
                  <c:v>7.5843061240706389E-2</c:v>
                </c:pt>
                <c:pt idx="188">
                  <c:v>7.6248639108303748E-2</c:v>
                </c:pt>
                <c:pt idx="189">
                  <c:v>7.6654216975901107E-2</c:v>
                </c:pt>
                <c:pt idx="190">
                  <c:v>7.7059794843498466E-2</c:v>
                </c:pt>
                <c:pt idx="191">
                  <c:v>7.7465372711095826E-2</c:v>
                </c:pt>
                <c:pt idx="192">
                  <c:v>7.7870950578693185E-2</c:v>
                </c:pt>
                <c:pt idx="193">
                  <c:v>7.8276528446290544E-2</c:v>
                </c:pt>
                <c:pt idx="194">
                  <c:v>7.8682106313887903E-2</c:v>
                </c:pt>
                <c:pt idx="195">
                  <c:v>7.9087684181485263E-2</c:v>
                </c:pt>
                <c:pt idx="196">
                  <c:v>7.9493262049082622E-2</c:v>
                </c:pt>
                <c:pt idx="197">
                  <c:v>7.9898839916679981E-2</c:v>
                </c:pt>
                <c:pt idx="198">
                  <c:v>8.030441778427734E-2</c:v>
                </c:pt>
                <c:pt idx="199">
                  <c:v>8.07099956518747E-2</c:v>
                </c:pt>
                <c:pt idx="200">
                  <c:v>8.1115573519472059E-2</c:v>
                </c:pt>
              </c:numCache>
            </c:numRef>
          </c:cat>
          <c:val>
            <c:numRef>
              <c:f>'RLC Transient'!$B$22:$B$222</c:f>
              <c:numCache>
                <c:formatCode>0.0000</c:formatCode>
                <c:ptCount val="201"/>
                <c:pt idx="0">
                  <c:v>0</c:v>
                </c:pt>
                <c:pt idx="1">
                  <c:v>1.8304699826620701</c:v>
                </c:pt>
                <c:pt idx="2">
                  <c:v>3.297742162745211</c:v>
                </c:pt>
                <c:pt idx="3">
                  <c:v>4.4466654033593382</c:v>
                </c:pt>
                <c:pt idx="4">
                  <c:v>5.3185899020803893</c:v>
                </c:pt>
                <c:pt idx="5">
                  <c:v>5.9513945604983993</c:v>
                </c:pt>
                <c:pt idx="6">
                  <c:v>6.3795609424918052</c:v>
                </c:pt>
                <c:pt idx="7">
                  <c:v>6.6342841702564765</c:v>
                </c:pt>
                <c:pt idx="8">
                  <c:v>6.7436123293454884</c:v>
                </c:pt>
                <c:pt idx="9">
                  <c:v>6.7326070771855306</c:v>
                </c:pt>
                <c:pt idx="10">
                  <c:v>6.6235191752022082</c:v>
                </c:pt>
                <c:pt idx="11">
                  <c:v>6.4359735954635413</c:v>
                </c:pt>
                <c:pt idx="12">
                  <c:v>6.1871596922165182</c:v>
                </c:pt>
                <c:pt idx="13">
                  <c:v>5.8920226811242165</c:v>
                </c:pt>
                <c:pt idx="14">
                  <c:v>5.563453339198329</c:v>
                </c:pt>
                <c:pt idx="15">
                  <c:v>5.2124734314953365</c:v>
                </c:pt>
                <c:pt idx="16">
                  <c:v>4.8484148919402124</c:v>
                </c:pt>
                <c:pt idx="17">
                  <c:v>4.4790912405836867</c:v>
                </c:pt>
                <c:pt idx="18">
                  <c:v>4.1109601136021405</c:v>
                </c:pt>
                <c:pt idx="19">
                  <c:v>3.7492761207408987</c:v>
                </c:pt>
                <c:pt idx="20">
                  <c:v>3.398233532857684</c:v>
                </c:pt>
                <c:pt idx="21">
                  <c:v>3.0610985447195596</c:v>
                </c:pt>
                <c:pt idx="22">
                  <c:v>2.7403310599823052</c:v>
                </c:pt>
                <c:pt idx="23">
                  <c:v>2.4376961108099957</c:v>
                </c:pt>
                <c:pt idx="24">
                  <c:v>2.1543651580666636</c:v>
                </c:pt>
                <c:pt idx="25">
                  <c:v>1.8910076233303101</c:v>
                </c:pt>
                <c:pt idx="26">
                  <c:v>1.6478730847442342</c:v>
                </c:pt>
                <c:pt idx="27">
                  <c:v>1.4248646282378001</c:v>
                </c:pt>
                <c:pt idx="28">
                  <c:v>1.2216038869331709</c:v>
                </c:pt>
                <c:pt idx="29">
                  <c:v>1.0374883273392512</c:v>
                </c:pt>
                <c:pt idx="30">
                  <c:v>0.87174135368045391</c:v>
                </c:pt>
                <c:pt idx="31">
                  <c:v>0.72345580361976447</c:v>
                </c:pt>
                <c:pt idx="32">
                  <c:v>0.59163140167307271</c:v>
                </c:pt>
                <c:pt idx="33">
                  <c:v>0.47520672250730589</c:v>
                </c:pt>
                <c:pt idx="34">
                  <c:v>0.37308619658916536</c:v>
                </c:pt>
                <c:pt idx="35">
                  <c:v>0.28416266662925083</c:v>
                </c:pt>
                <c:pt idx="36">
                  <c:v>0.20733597609387763</c:v>
                </c:pt>
                <c:pt idx="37">
                  <c:v>0.14152804171616129</c:v>
                </c:pt>
                <c:pt idx="38">
                  <c:v>8.5694831263228757E-2</c:v>
                </c:pt>
                <c:pt idx="39">
                  <c:v>3.8835636508646812E-2</c:v>
                </c:pt>
                <c:pt idx="40">
                  <c:v>2.5341466880617637E-16</c:v>
                </c:pt>
                <c:pt idx="41">
                  <c:v>-3.1707376723265221E-2</c:v>
                </c:pt>
                <c:pt idx="42">
                  <c:v>-5.7123445935066235E-2</c:v>
                </c:pt>
                <c:pt idx="43">
                  <c:v>-7.7025079046409456E-2</c:v>
                </c:pt>
                <c:pt idx="44">
                  <c:v>-9.2128543630399101E-2</c:v>
                </c:pt>
                <c:pt idx="45">
                  <c:v>-0.10308997751718543</c:v>
                </c:pt>
                <c:pt idx="46">
                  <c:v>-0.11050666989820927</c:v>
                </c:pt>
                <c:pt idx="47">
                  <c:v>-0.11491898226574367</c:v>
                </c:pt>
                <c:pt idx="48">
                  <c:v>-0.11681276318514176</c:v>
                </c:pt>
                <c:pt idx="49">
                  <c:v>-0.11662213035342338</c:v>
                </c:pt>
                <c:pt idx="50">
                  <c:v>-0.11473251116441834</c:v>
                </c:pt>
                <c:pt idx="51">
                  <c:v>-0.11148384912358603</c:v>
                </c:pt>
                <c:pt idx="52">
                  <c:v>-0.10717389799684521</c:v>
                </c:pt>
                <c:pt idx="53">
                  <c:v>-0.10206153861137592</c:v>
                </c:pt>
                <c:pt idx="54">
                  <c:v>-9.6370064835330518E-2</c:v>
                </c:pt>
                <c:pt idx="55">
                  <c:v>-9.0290395536601384E-2</c:v>
                </c:pt>
                <c:pt idx="56">
                  <c:v>-8.3984178350669417E-2</c:v>
                </c:pt>
                <c:pt idx="57">
                  <c:v>-7.758675896805646E-2</c:v>
                </c:pt>
                <c:pt idx="58">
                  <c:v>-7.1209996476825244E-2</c:v>
                </c:pt>
                <c:pt idx="59">
                  <c:v>-6.4944911157180651E-2</c:v>
                </c:pt>
                <c:pt idx="60">
                  <c:v>-5.8864156113202427E-2</c:v>
                </c:pt>
                <c:pt idx="61">
                  <c:v>-5.3024308327256749E-2</c:v>
                </c:pt>
                <c:pt idx="62">
                  <c:v>-4.7467978217791015E-2</c:v>
                </c:pt>
                <c:pt idx="63">
                  <c:v>-4.2225739648504297E-2</c:v>
                </c:pt>
                <c:pt idx="64">
                  <c:v>-3.7317884648921371E-2</c:v>
                </c:pt>
                <c:pt idx="65">
                  <c:v>-3.2756008930723592E-2</c:v>
                </c:pt>
                <c:pt idx="66">
                  <c:v>-2.8544435683193752E-2</c:v>
                </c:pt>
                <c:pt idx="67">
                  <c:v>-2.468148616208769E-2</c:v>
                </c:pt>
                <c:pt idx="68">
                  <c:v>-2.1160606301373897E-2</c:v>
                </c:pt>
                <c:pt idx="69">
                  <c:v>-1.7971359023923762E-2</c:v>
                </c:pt>
                <c:pt idx="70">
                  <c:v>-1.5100292148029069E-2</c:v>
                </c:pt>
                <c:pt idx="71">
                  <c:v>-1.2531691819739024E-2</c:v>
                </c:pt>
                <c:pt idx="72">
                  <c:v>-1.0248231280405759E-2</c:v>
                </c:pt>
                <c:pt idx="73">
                  <c:v>-8.2315245345100235E-3</c:v>
                </c:pt>
                <c:pt idx="74">
                  <c:v>-6.4625941411498465E-3</c:v>
                </c:pt>
                <c:pt idx="75">
                  <c:v>-4.9222619364659524E-3</c:v>
                </c:pt>
                <c:pt idx="76">
                  <c:v>-3.5914710235966192E-3</c:v>
                </c:pt>
                <c:pt idx="77">
                  <c:v>-2.4515468585143826E-3</c:v>
                </c:pt>
                <c:pt idx="78">
                  <c:v>-1.4844047287506045E-3</c:v>
                </c:pt>
                <c:pt idx="79">
                  <c:v>-6.727103797006678E-4</c:v>
                </c:pt>
                <c:pt idx="80">
                  <c:v>7.3792410793390369E-17</c:v>
                </c:pt>
                <c:pt idx="81">
                  <c:v>5.4923475839198268E-4</c:v>
                </c:pt>
                <c:pt idx="82">
                  <c:v>9.8949157164555956E-4</c:v>
                </c:pt>
                <c:pt idx="83">
                  <c:v>1.3342273960221147E-3</c:v>
                </c:pt>
                <c:pt idx="84">
                  <c:v>1.5958494089078905E-3</c:v>
                </c:pt>
                <c:pt idx="85">
                  <c:v>1.7857232210804475E-3</c:v>
                </c:pt>
                <c:pt idx="86">
                  <c:v>1.914195067979396E-3</c:v>
                </c:pt>
                <c:pt idx="87">
                  <c:v>1.9906250841955982E-3</c:v>
                </c:pt>
                <c:pt idx="88">
                  <c:v>2.0234291321239639E-3</c:v>
                </c:pt>
                <c:pt idx="89">
                  <c:v>2.0201269927453496E-3</c:v>
                </c:pt>
                <c:pt idx="90">
                  <c:v>1.9873950342555627E-3</c:v>
                </c:pt>
                <c:pt idx="91">
                  <c:v>1.9311217535402819E-3</c:v>
                </c:pt>
                <c:pt idx="92">
                  <c:v>1.8564648373773139E-3</c:v>
                </c:pt>
                <c:pt idx="93">
                  <c:v>1.7679086160160365E-3</c:v>
                </c:pt>
                <c:pt idx="94">
                  <c:v>1.6693209828742923E-3</c:v>
                </c:pt>
                <c:pt idx="95">
                  <c:v>1.5640090320455076E-3</c:v>
                </c:pt>
                <c:pt idx="96">
                  <c:v>1.4547728217241124E-3</c:v>
                </c:pt>
                <c:pt idx="97">
                  <c:v>1.3439568081633636E-3</c:v>
                </c:pt>
                <c:pt idx="98">
                  <c:v>1.2334986130007159E-3</c:v>
                </c:pt>
                <c:pt idx="99">
                  <c:v>1.1249748883207448E-3</c:v>
                </c:pt>
                <c:pt idx="100">
                  <c:v>1.019644130227179E-3</c:v>
                </c:pt>
                <c:pt idx="101">
                  <c:v>9.1848636445698211E-4</c:v>
                </c:pt>
                <c:pt idx="102">
                  <c:v>8.2223968811245395E-4</c:v>
                </c:pt>
                <c:pt idx="103">
                  <c:v>7.31433701254436E-4</c:v>
                </c:pt>
                <c:pt idx="104">
                  <c:v>6.4641990214879671E-4</c:v>
                </c:pt>
                <c:pt idx="105">
                  <c:v>5.6739915155923771E-4</c:v>
                </c:pt>
                <c:pt idx="106">
                  <c:v>4.9444633571308618E-4</c:v>
                </c:pt>
                <c:pt idx="107">
                  <c:v>4.2753237542484491E-4</c:v>
                </c:pt>
                <c:pt idx="108">
                  <c:v>3.6654374124978203E-4</c:v>
                </c:pt>
                <c:pt idx="109">
                  <c:v>3.1129964227652424E-4</c:v>
                </c:pt>
                <c:pt idx="110">
                  <c:v>2.6156705999222477E-4</c:v>
                </c:pt>
                <c:pt idx="111">
                  <c:v>2.1707379922749346E-4</c:v>
                </c:pt>
                <c:pt idx="112">
                  <c:v>1.7751972609920556E-4</c:v>
                </c:pt>
                <c:pt idx="113">
                  <c:v>1.4258635863722053E-4</c:v>
                </c:pt>
                <c:pt idx="114">
                  <c:v>1.1194496986233492E-4</c:v>
                </c:pt>
                <c:pt idx="115">
                  <c:v>8.526335587494674E-5</c:v>
                </c:pt>
                <c:pt idx="116">
                  <c:v>6.2211413360772685E-5</c:v>
                </c:pt>
                <c:pt idx="117">
                  <c:v>4.2465662116246915E-5</c:v>
                </c:pt>
                <c:pt idx="118">
                  <c:v>2.5712838992228743E-5</c:v>
                </c:pt>
                <c:pt idx="119">
                  <c:v>1.1652680260729846E-5</c:v>
                </c:pt>
                <c:pt idx="120">
                  <c:v>7.6447686543002683E-19</c:v>
                </c:pt>
                <c:pt idx="121">
                  <c:v>-9.5138371886964941E-6</c:v>
                </c:pt>
                <c:pt idx="122">
                  <c:v>-1.7139959859397168E-5</c:v>
                </c:pt>
                <c:pt idx="123">
                  <c:v>-2.3111469229693816E-5</c:v>
                </c:pt>
                <c:pt idx="124">
                  <c:v>-2.7643282261451326E-5</c:v>
                </c:pt>
                <c:pt idx="125">
                  <c:v>-3.0932273913574827E-5</c:v>
                </c:pt>
                <c:pt idx="126">
                  <c:v>-3.3157661538907517E-5</c:v>
                </c:pt>
                <c:pt idx="127">
                  <c:v>-3.4481581264489819E-5</c:v>
                </c:pt>
                <c:pt idx="128">
                  <c:v>-3.5049812546928229E-5</c:v>
                </c:pt>
                <c:pt idx="129">
                  <c:v>-3.4992612932478426E-5</c:v>
                </c:pt>
                <c:pt idx="130">
                  <c:v>-3.4425630382337614E-5</c:v>
                </c:pt>
                <c:pt idx="131">
                  <c:v>-3.3450865361335493E-5</c:v>
                </c:pt>
                <c:pt idx="132">
                  <c:v>-3.215765925132116E-5</c:v>
                </c:pt>
                <c:pt idx="133">
                  <c:v>-3.0623689561303478E-5</c:v>
                </c:pt>
                <c:pt idx="134">
                  <c:v>-2.8915955889684267E-5</c:v>
                </c:pt>
                <c:pt idx="135">
                  <c:v>-2.7091743676417579E-5</c:v>
                </c:pt>
                <c:pt idx="136">
                  <c:v>-2.5199555492350669E-5</c:v>
                </c:pt>
                <c:pt idx="137">
                  <c:v>-2.328000197755817E-5</c:v>
                </c:pt>
                <c:pt idx="138">
                  <c:v>-2.1366646588304215E-5</c:v>
                </c:pt>
                <c:pt idx="139">
                  <c:v>-1.9486800071053221E-5</c:v>
                </c:pt>
                <c:pt idx="140">
                  <c:v>-1.7662262078595741E-5</c:v>
                </c:pt>
                <c:pt idx="141">
                  <c:v>-1.5910008603728659E-5</c:v>
                </c:pt>
                <c:pt idx="142">
                  <c:v>-1.4242824954652904E-5</c:v>
                </c:pt>
                <c:pt idx="143">
                  <c:v>-1.2669884856587067E-5</c:v>
                </c:pt>
                <c:pt idx="144">
                  <c:v>-1.1197276957823069E-5</c:v>
                </c:pt>
                <c:pt idx="145">
                  <c:v>-9.8284805658415185E-6</c:v>
                </c:pt>
                <c:pt idx="146">
                  <c:v>-8.5647928588773422E-6</c:v>
                </c:pt>
                <c:pt idx="147">
                  <c:v>-7.4057101276656824E-6</c:v>
                </c:pt>
                <c:pt idx="148">
                  <c:v>-6.3492658166730143E-6</c:v>
                </c:pt>
                <c:pt idx="149">
                  <c:v>-5.3923282681342239E-6</c:v>
                </c:pt>
                <c:pt idx="150">
                  <c:v>-4.5308611384652392E-6</c:v>
                </c:pt>
                <c:pt idx="151">
                  <c:v>-3.7601494665578168E-6</c:v>
                </c:pt>
                <c:pt idx="152">
                  <c:v>-3.0749943372754906E-6</c:v>
                </c:pt>
                <c:pt idx="153">
                  <c:v>-2.4698790101622989E-6</c:v>
                </c:pt>
                <c:pt idx="154">
                  <c:v>-1.9391092808513524E-6</c:v>
                </c:pt>
                <c:pt idx="155">
                  <c:v>-1.4769307178068287E-6</c:v>
                </c:pt>
                <c:pt idx="156">
                  <c:v>-1.0776252758038853E-6</c:v>
                </c:pt>
                <c:pt idx="157">
                  <c:v>-7.3558963505354454E-7</c:v>
                </c:pt>
                <c:pt idx="158">
                  <c:v>-4.4539745544785494E-7</c:v>
                </c:pt>
                <c:pt idx="159">
                  <c:v>-2.0184757267937416E-7</c:v>
                </c:pt>
                <c:pt idx="160">
                  <c:v>-5.0690664394996072E-20</c:v>
                </c:pt>
                <c:pt idx="161">
                  <c:v>1.6479856139845501E-7</c:v>
                </c:pt>
                <c:pt idx="162">
                  <c:v>2.9689815699307175E-7</c:v>
                </c:pt>
                <c:pt idx="163">
                  <c:v>4.0033656297838051E-7</c:v>
                </c:pt>
                <c:pt idx="164">
                  <c:v>4.7883656811278292E-7</c:v>
                </c:pt>
                <c:pt idx="165">
                  <c:v>5.3580843781911011E-7</c:v>
                </c:pt>
                <c:pt idx="166">
                  <c:v>5.7435657270253555E-7</c:v>
                </c:pt>
                <c:pt idx="167">
                  <c:v>5.972894926018062E-7</c:v>
                </c:pt>
                <c:pt idx="168">
                  <c:v>6.0713238732768289E-7</c:v>
                </c:pt>
                <c:pt idx="169">
                  <c:v>6.0614157636603909E-7</c:v>
                </c:pt>
                <c:pt idx="170">
                  <c:v>5.963203121644362E-7</c:v>
                </c:pt>
                <c:pt idx="171">
                  <c:v>5.7943544541965353E-7</c:v>
                </c:pt>
                <c:pt idx="172">
                  <c:v>5.5703454636124979E-7</c:v>
                </c:pt>
                <c:pt idx="173">
                  <c:v>5.304631437683895E-7</c:v>
                </c:pt>
                <c:pt idx="174">
                  <c:v>5.0088180379455047E-7</c:v>
                </c:pt>
                <c:pt idx="175">
                  <c:v>4.6928282406962198E-7</c:v>
                </c:pt>
                <c:pt idx="176">
                  <c:v>4.3650636548150184E-7</c:v>
                </c:pt>
                <c:pt idx="177">
                  <c:v>4.0325588499808017E-7</c:v>
                </c:pt>
                <c:pt idx="178">
                  <c:v>3.701127683629E-7</c:v>
                </c:pt>
                <c:pt idx="179">
                  <c:v>3.3755009196341471E-7</c:v>
                </c:pt>
                <c:pt idx="180">
                  <c:v>3.0594546909567162E-7</c:v>
                </c:pt>
                <c:pt idx="181">
                  <c:v>2.7559295768138261E-7</c:v>
                </c:pt>
                <c:pt idx="182">
                  <c:v>2.4671402465936375E-7</c:v>
                </c:pt>
                <c:pt idx="183">
                  <c:v>2.1946757717598459E-7</c:v>
                </c:pt>
                <c:pt idx="184">
                  <c:v>1.9395908271607462E-7</c:v>
                </c:pt>
                <c:pt idx="185">
                  <c:v>1.702488097975929E-7</c:v>
                </c:pt>
                <c:pt idx="186">
                  <c:v>1.483592281246929E-7</c:v>
                </c:pt>
                <c:pt idx="187">
                  <c:v>1.2828161245218002E-7</c:v>
                </c:pt>
                <c:pt idx="188">
                  <c:v>1.0998189813122716E-7</c:v>
                </c:pt>
                <c:pt idx="189">
                  <c:v>9.3405838627628297E-8</c:v>
                </c:pt>
                <c:pt idx="190">
                  <c:v>7.8483516451440127E-8</c:v>
                </c:pt>
                <c:pt idx="191">
                  <c:v>6.5133259108979978E-8</c:v>
                </c:pt>
                <c:pt idx="192">
                  <c:v>5.3265011061318185E-8</c:v>
                </c:pt>
                <c:pt idx="193">
                  <c:v>4.2783211403561771E-8</c:v>
                </c:pt>
                <c:pt idx="194">
                  <c:v>3.3589225203311154E-8</c:v>
                </c:pt>
                <c:pt idx="195">
                  <c:v>2.558337427394564E-8</c:v>
                </c:pt>
                <c:pt idx="196">
                  <c:v>1.8666610712040836E-8</c:v>
                </c:pt>
                <c:pt idx="197">
                  <c:v>1.2741873886647505E-8</c:v>
                </c:pt>
                <c:pt idx="198">
                  <c:v>7.7151688065009241E-9</c:v>
                </c:pt>
                <c:pt idx="199">
                  <c:v>3.4964009725608126E-9</c:v>
                </c:pt>
                <c:pt idx="200">
                  <c:v>1.5267438115016659E-21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99C-4EB9-AA98-992E28CC9579}"/>
            </c:ext>
          </c:extLst>
        </c:ser>
        <c:ser>
          <c:idx val="1"/>
          <c:order val="1"/>
          <c:tx>
            <c:strRef>
              <c:f>'RLC Transient'!$C$21</c:f>
              <c:strCache>
                <c:ptCount val="1"/>
                <c:pt idx="0">
                  <c:v>V_L - Voltage across Inductor (V)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'RLC Transient'!$A$22:$A$222</c:f>
              <c:numCache>
                <c:formatCode>0.000000</c:formatCode>
                <c:ptCount val="201"/>
                <c:pt idx="0">
                  <c:v>0</c:v>
                </c:pt>
                <c:pt idx="1">
                  <c:v>4.0557786759736126E-4</c:v>
                </c:pt>
                <c:pt idx="2">
                  <c:v>8.1115573519472252E-4</c:v>
                </c:pt>
                <c:pt idx="3">
                  <c:v>1.2167336027920838E-3</c:v>
                </c:pt>
                <c:pt idx="4">
                  <c:v>1.622311470389445E-3</c:v>
                </c:pt>
                <c:pt idx="5">
                  <c:v>2.0278893379868062E-3</c:v>
                </c:pt>
                <c:pt idx="6">
                  <c:v>2.4334672055841677E-3</c:v>
                </c:pt>
                <c:pt idx="7">
                  <c:v>2.8390450731815291E-3</c:v>
                </c:pt>
                <c:pt idx="8">
                  <c:v>3.2446229407788905E-3</c:v>
                </c:pt>
                <c:pt idx="9">
                  <c:v>3.6502008083762519E-3</c:v>
                </c:pt>
                <c:pt idx="10">
                  <c:v>4.0557786759736134E-3</c:v>
                </c:pt>
                <c:pt idx="11">
                  <c:v>4.4613565435709743E-3</c:v>
                </c:pt>
                <c:pt idx="12">
                  <c:v>4.8669344111683353E-3</c:v>
                </c:pt>
                <c:pt idx="13">
                  <c:v>5.2725122787656963E-3</c:v>
                </c:pt>
                <c:pt idx="14">
                  <c:v>5.6780901463630573E-3</c:v>
                </c:pt>
                <c:pt idx="15">
                  <c:v>6.0836680139604183E-3</c:v>
                </c:pt>
                <c:pt idx="16">
                  <c:v>6.4892458815577793E-3</c:v>
                </c:pt>
                <c:pt idx="17">
                  <c:v>6.8948237491551403E-3</c:v>
                </c:pt>
                <c:pt idx="18">
                  <c:v>7.3004016167525013E-3</c:v>
                </c:pt>
                <c:pt idx="19">
                  <c:v>7.7059794843498623E-3</c:v>
                </c:pt>
                <c:pt idx="20">
                  <c:v>8.1115573519472232E-3</c:v>
                </c:pt>
                <c:pt idx="21">
                  <c:v>8.5171352195445842E-3</c:v>
                </c:pt>
                <c:pt idx="22">
                  <c:v>8.9227130871419452E-3</c:v>
                </c:pt>
                <c:pt idx="23">
                  <c:v>9.3282909547393062E-3</c:v>
                </c:pt>
                <c:pt idx="24">
                  <c:v>9.7338688223366672E-3</c:v>
                </c:pt>
                <c:pt idx="25">
                  <c:v>1.0139446689934028E-2</c:v>
                </c:pt>
                <c:pt idx="26">
                  <c:v>1.0545024557531389E-2</c:v>
                </c:pt>
                <c:pt idx="27">
                  <c:v>1.095060242512875E-2</c:v>
                </c:pt>
                <c:pt idx="28">
                  <c:v>1.1356180292726111E-2</c:v>
                </c:pt>
                <c:pt idx="29">
                  <c:v>1.1761758160323472E-2</c:v>
                </c:pt>
                <c:pt idx="30">
                  <c:v>1.2167336027920833E-2</c:v>
                </c:pt>
                <c:pt idx="31">
                  <c:v>1.2572913895518194E-2</c:v>
                </c:pt>
                <c:pt idx="32">
                  <c:v>1.2978491763115555E-2</c:v>
                </c:pt>
                <c:pt idx="33">
                  <c:v>1.3384069630712916E-2</c:v>
                </c:pt>
                <c:pt idx="34">
                  <c:v>1.3789647498310277E-2</c:v>
                </c:pt>
                <c:pt idx="35">
                  <c:v>1.4195225365907638E-2</c:v>
                </c:pt>
                <c:pt idx="36">
                  <c:v>1.4600803233504999E-2</c:v>
                </c:pt>
                <c:pt idx="37">
                  <c:v>1.500638110110236E-2</c:v>
                </c:pt>
                <c:pt idx="38">
                  <c:v>1.5411958968699721E-2</c:v>
                </c:pt>
                <c:pt idx="39">
                  <c:v>1.5817536836297084E-2</c:v>
                </c:pt>
                <c:pt idx="40">
                  <c:v>1.6223114703894446E-2</c:v>
                </c:pt>
                <c:pt idx="41">
                  <c:v>1.6628692571491809E-2</c:v>
                </c:pt>
                <c:pt idx="42">
                  <c:v>1.7034270439089172E-2</c:v>
                </c:pt>
                <c:pt idx="43">
                  <c:v>1.7439848306686535E-2</c:v>
                </c:pt>
                <c:pt idx="44">
                  <c:v>1.7845426174283897E-2</c:v>
                </c:pt>
                <c:pt idx="45">
                  <c:v>1.825100404188126E-2</c:v>
                </c:pt>
                <c:pt idx="46">
                  <c:v>1.8656581909478623E-2</c:v>
                </c:pt>
                <c:pt idx="47">
                  <c:v>1.9062159777075986E-2</c:v>
                </c:pt>
                <c:pt idx="48">
                  <c:v>1.9467737644673348E-2</c:v>
                </c:pt>
                <c:pt idx="49">
                  <c:v>1.9873315512270711E-2</c:v>
                </c:pt>
                <c:pt idx="50">
                  <c:v>2.0278893379868074E-2</c:v>
                </c:pt>
                <c:pt idx="51">
                  <c:v>2.0684471247465436E-2</c:v>
                </c:pt>
                <c:pt idx="52">
                  <c:v>2.1090049115062799E-2</c:v>
                </c:pt>
                <c:pt idx="53">
                  <c:v>2.1495626982660162E-2</c:v>
                </c:pt>
                <c:pt idx="54">
                  <c:v>2.1901204850257525E-2</c:v>
                </c:pt>
                <c:pt idx="55">
                  <c:v>2.2306782717854887E-2</c:v>
                </c:pt>
                <c:pt idx="56">
                  <c:v>2.271236058545225E-2</c:v>
                </c:pt>
                <c:pt idx="57">
                  <c:v>2.3117938453049613E-2</c:v>
                </c:pt>
                <c:pt idx="58">
                  <c:v>2.3523516320646976E-2</c:v>
                </c:pt>
                <c:pt idx="59">
                  <c:v>2.3929094188244338E-2</c:v>
                </c:pt>
                <c:pt idx="60">
                  <c:v>2.4334672055841701E-2</c:v>
                </c:pt>
                <c:pt idx="61">
                  <c:v>2.4740249923439064E-2</c:v>
                </c:pt>
                <c:pt idx="62">
                  <c:v>2.5145827791036426E-2</c:v>
                </c:pt>
                <c:pt idx="63">
                  <c:v>2.5551405658633789E-2</c:v>
                </c:pt>
                <c:pt idx="64">
                  <c:v>2.5956983526231152E-2</c:v>
                </c:pt>
                <c:pt idx="65">
                  <c:v>2.6362561393828515E-2</c:v>
                </c:pt>
                <c:pt idx="66">
                  <c:v>2.6768139261425877E-2</c:v>
                </c:pt>
                <c:pt idx="67">
                  <c:v>2.717371712902324E-2</c:v>
                </c:pt>
                <c:pt idx="68">
                  <c:v>2.7579294996620603E-2</c:v>
                </c:pt>
                <c:pt idx="69">
                  <c:v>2.7984872864217965E-2</c:v>
                </c:pt>
                <c:pt idx="70">
                  <c:v>2.8390450731815328E-2</c:v>
                </c:pt>
                <c:pt idx="71">
                  <c:v>2.8796028599412691E-2</c:v>
                </c:pt>
                <c:pt idx="72">
                  <c:v>2.9201606467010054E-2</c:v>
                </c:pt>
                <c:pt idx="73">
                  <c:v>2.9607184334607416E-2</c:v>
                </c:pt>
                <c:pt idx="74">
                  <c:v>3.0012762202204779E-2</c:v>
                </c:pt>
                <c:pt idx="75">
                  <c:v>3.0418340069802142E-2</c:v>
                </c:pt>
                <c:pt idx="76">
                  <c:v>3.0823917937399505E-2</c:v>
                </c:pt>
                <c:pt idx="77">
                  <c:v>3.1229495804996867E-2</c:v>
                </c:pt>
                <c:pt idx="78">
                  <c:v>3.163507367259423E-2</c:v>
                </c:pt>
                <c:pt idx="79">
                  <c:v>3.2040651540191589E-2</c:v>
                </c:pt>
                <c:pt idx="80">
                  <c:v>3.2446229407788948E-2</c:v>
                </c:pt>
                <c:pt idx="81">
                  <c:v>3.2851807275386308E-2</c:v>
                </c:pt>
                <c:pt idx="82">
                  <c:v>3.3257385142983667E-2</c:v>
                </c:pt>
                <c:pt idx="83">
                  <c:v>3.3662963010581026E-2</c:v>
                </c:pt>
                <c:pt idx="84">
                  <c:v>3.4068540878178386E-2</c:v>
                </c:pt>
                <c:pt idx="85">
                  <c:v>3.4474118745775745E-2</c:v>
                </c:pt>
                <c:pt idx="86">
                  <c:v>3.4879696613373104E-2</c:v>
                </c:pt>
                <c:pt idx="87">
                  <c:v>3.5285274480970463E-2</c:v>
                </c:pt>
                <c:pt idx="88">
                  <c:v>3.5690852348567823E-2</c:v>
                </c:pt>
                <c:pt idx="89">
                  <c:v>3.6096430216165182E-2</c:v>
                </c:pt>
                <c:pt idx="90">
                  <c:v>3.6502008083762541E-2</c:v>
                </c:pt>
                <c:pt idx="91">
                  <c:v>3.69075859513599E-2</c:v>
                </c:pt>
                <c:pt idx="92">
                  <c:v>3.731316381895726E-2</c:v>
                </c:pt>
                <c:pt idx="93">
                  <c:v>3.7718741686554619E-2</c:v>
                </c:pt>
                <c:pt idx="94">
                  <c:v>3.8124319554151978E-2</c:v>
                </c:pt>
                <c:pt idx="95">
                  <c:v>3.8529897421749337E-2</c:v>
                </c:pt>
                <c:pt idx="96">
                  <c:v>3.8935475289346697E-2</c:v>
                </c:pt>
                <c:pt idx="97">
                  <c:v>3.9341053156944056E-2</c:v>
                </c:pt>
                <c:pt idx="98">
                  <c:v>3.9746631024541415E-2</c:v>
                </c:pt>
                <c:pt idx="99">
                  <c:v>4.0152208892138774E-2</c:v>
                </c:pt>
                <c:pt idx="100">
                  <c:v>4.0557786759736134E-2</c:v>
                </c:pt>
                <c:pt idx="101">
                  <c:v>4.0963364627333493E-2</c:v>
                </c:pt>
                <c:pt idx="102">
                  <c:v>4.1368942494930852E-2</c:v>
                </c:pt>
                <c:pt idx="103">
                  <c:v>4.1774520362528211E-2</c:v>
                </c:pt>
                <c:pt idx="104">
                  <c:v>4.2180098230125571E-2</c:v>
                </c:pt>
                <c:pt idx="105">
                  <c:v>4.258567609772293E-2</c:v>
                </c:pt>
                <c:pt idx="106">
                  <c:v>4.2991253965320289E-2</c:v>
                </c:pt>
                <c:pt idx="107">
                  <c:v>4.3396831832917648E-2</c:v>
                </c:pt>
                <c:pt idx="108">
                  <c:v>4.3802409700515008E-2</c:v>
                </c:pt>
                <c:pt idx="109">
                  <c:v>4.4207987568112367E-2</c:v>
                </c:pt>
                <c:pt idx="110">
                  <c:v>4.4613565435709726E-2</c:v>
                </c:pt>
                <c:pt idx="111">
                  <c:v>4.5019143303307085E-2</c:v>
                </c:pt>
                <c:pt idx="112">
                  <c:v>4.5424721170904445E-2</c:v>
                </c:pt>
                <c:pt idx="113">
                  <c:v>4.5830299038501804E-2</c:v>
                </c:pt>
                <c:pt idx="114">
                  <c:v>4.6235876906099163E-2</c:v>
                </c:pt>
                <c:pt idx="115">
                  <c:v>4.6641454773696522E-2</c:v>
                </c:pt>
                <c:pt idx="116">
                  <c:v>4.7047032641293882E-2</c:v>
                </c:pt>
                <c:pt idx="117">
                  <c:v>4.7452610508891241E-2</c:v>
                </c:pt>
                <c:pt idx="118">
                  <c:v>4.78581883764886E-2</c:v>
                </c:pt>
                <c:pt idx="119">
                  <c:v>4.8263766244085959E-2</c:v>
                </c:pt>
                <c:pt idx="120">
                  <c:v>4.8669344111683319E-2</c:v>
                </c:pt>
                <c:pt idx="121">
                  <c:v>4.9074921979280678E-2</c:v>
                </c:pt>
                <c:pt idx="122">
                  <c:v>4.9480499846878037E-2</c:v>
                </c:pt>
                <c:pt idx="123">
                  <c:v>4.9886077714475396E-2</c:v>
                </c:pt>
                <c:pt idx="124">
                  <c:v>5.0291655582072756E-2</c:v>
                </c:pt>
                <c:pt idx="125">
                  <c:v>5.0697233449670115E-2</c:v>
                </c:pt>
                <c:pt idx="126">
                  <c:v>5.1102811317267474E-2</c:v>
                </c:pt>
                <c:pt idx="127">
                  <c:v>5.1508389184864833E-2</c:v>
                </c:pt>
                <c:pt idx="128">
                  <c:v>5.1913967052462193E-2</c:v>
                </c:pt>
                <c:pt idx="129">
                  <c:v>5.2319544920059552E-2</c:v>
                </c:pt>
                <c:pt idx="130">
                  <c:v>5.2725122787656911E-2</c:v>
                </c:pt>
                <c:pt idx="131">
                  <c:v>5.313070065525427E-2</c:v>
                </c:pt>
                <c:pt idx="132">
                  <c:v>5.353627852285163E-2</c:v>
                </c:pt>
                <c:pt idx="133">
                  <c:v>5.3941856390448989E-2</c:v>
                </c:pt>
                <c:pt idx="134">
                  <c:v>5.4347434258046348E-2</c:v>
                </c:pt>
                <c:pt idx="135">
                  <c:v>5.4753012125643707E-2</c:v>
                </c:pt>
                <c:pt idx="136">
                  <c:v>5.5158589993241067E-2</c:v>
                </c:pt>
                <c:pt idx="137">
                  <c:v>5.5564167860838426E-2</c:v>
                </c:pt>
                <c:pt idx="138">
                  <c:v>5.5969745728435785E-2</c:v>
                </c:pt>
                <c:pt idx="139">
                  <c:v>5.6375323596033144E-2</c:v>
                </c:pt>
                <c:pt idx="140">
                  <c:v>5.6780901463630504E-2</c:v>
                </c:pt>
                <c:pt idx="141">
                  <c:v>5.7186479331227863E-2</c:v>
                </c:pt>
                <c:pt idx="142">
                  <c:v>5.7592057198825222E-2</c:v>
                </c:pt>
                <c:pt idx="143">
                  <c:v>5.7997635066422581E-2</c:v>
                </c:pt>
                <c:pt idx="144">
                  <c:v>5.8403212934019941E-2</c:v>
                </c:pt>
                <c:pt idx="145">
                  <c:v>5.88087908016173E-2</c:v>
                </c:pt>
                <c:pt idx="146">
                  <c:v>5.9214368669214659E-2</c:v>
                </c:pt>
                <c:pt idx="147">
                  <c:v>5.9619946536812019E-2</c:v>
                </c:pt>
                <c:pt idx="148">
                  <c:v>6.0025524404409378E-2</c:v>
                </c:pt>
                <c:pt idx="149">
                  <c:v>6.0431102272006737E-2</c:v>
                </c:pt>
                <c:pt idx="150">
                  <c:v>6.0836680139604096E-2</c:v>
                </c:pt>
                <c:pt idx="151">
                  <c:v>6.1242258007201456E-2</c:v>
                </c:pt>
                <c:pt idx="152">
                  <c:v>6.1647835874798815E-2</c:v>
                </c:pt>
                <c:pt idx="153">
                  <c:v>6.2053413742396174E-2</c:v>
                </c:pt>
                <c:pt idx="154">
                  <c:v>6.2458991609993533E-2</c:v>
                </c:pt>
                <c:pt idx="155">
                  <c:v>6.2864569477590893E-2</c:v>
                </c:pt>
                <c:pt idx="156">
                  <c:v>6.3270147345188252E-2</c:v>
                </c:pt>
                <c:pt idx="157">
                  <c:v>6.3675725212785611E-2</c:v>
                </c:pt>
                <c:pt idx="158">
                  <c:v>6.408130308038297E-2</c:v>
                </c:pt>
                <c:pt idx="159">
                  <c:v>6.448688094798033E-2</c:v>
                </c:pt>
                <c:pt idx="160">
                  <c:v>6.4892458815577689E-2</c:v>
                </c:pt>
                <c:pt idx="161">
                  <c:v>6.5298036683175048E-2</c:v>
                </c:pt>
                <c:pt idx="162">
                  <c:v>6.5703614550772407E-2</c:v>
                </c:pt>
                <c:pt idx="163">
                  <c:v>6.6109192418369767E-2</c:v>
                </c:pt>
                <c:pt idx="164">
                  <c:v>6.6514770285967126E-2</c:v>
                </c:pt>
                <c:pt idx="165">
                  <c:v>6.6920348153564485E-2</c:v>
                </c:pt>
                <c:pt idx="166">
                  <c:v>6.7325926021161844E-2</c:v>
                </c:pt>
                <c:pt idx="167">
                  <c:v>6.7731503888759204E-2</c:v>
                </c:pt>
                <c:pt idx="168">
                  <c:v>6.8137081756356563E-2</c:v>
                </c:pt>
                <c:pt idx="169">
                  <c:v>6.8542659623953922E-2</c:v>
                </c:pt>
                <c:pt idx="170">
                  <c:v>6.8948237491551281E-2</c:v>
                </c:pt>
                <c:pt idx="171">
                  <c:v>6.9353815359148641E-2</c:v>
                </c:pt>
                <c:pt idx="172">
                  <c:v>6.9759393226746E-2</c:v>
                </c:pt>
                <c:pt idx="173">
                  <c:v>7.0164971094343359E-2</c:v>
                </c:pt>
                <c:pt idx="174">
                  <c:v>7.0570548961940718E-2</c:v>
                </c:pt>
                <c:pt idx="175">
                  <c:v>7.0976126829538078E-2</c:v>
                </c:pt>
                <c:pt idx="176">
                  <c:v>7.1381704697135437E-2</c:v>
                </c:pt>
                <c:pt idx="177">
                  <c:v>7.1787282564732796E-2</c:v>
                </c:pt>
                <c:pt idx="178">
                  <c:v>7.2192860432330155E-2</c:v>
                </c:pt>
                <c:pt idx="179">
                  <c:v>7.2598438299927515E-2</c:v>
                </c:pt>
                <c:pt idx="180">
                  <c:v>7.3004016167524874E-2</c:v>
                </c:pt>
                <c:pt idx="181">
                  <c:v>7.3409594035122233E-2</c:v>
                </c:pt>
                <c:pt idx="182">
                  <c:v>7.3815171902719592E-2</c:v>
                </c:pt>
                <c:pt idx="183">
                  <c:v>7.4220749770316952E-2</c:v>
                </c:pt>
                <c:pt idx="184">
                  <c:v>7.4626327637914311E-2</c:v>
                </c:pt>
                <c:pt idx="185">
                  <c:v>7.503190550551167E-2</c:v>
                </c:pt>
                <c:pt idx="186">
                  <c:v>7.5437483373109029E-2</c:v>
                </c:pt>
                <c:pt idx="187">
                  <c:v>7.5843061240706389E-2</c:v>
                </c:pt>
                <c:pt idx="188">
                  <c:v>7.6248639108303748E-2</c:v>
                </c:pt>
                <c:pt idx="189">
                  <c:v>7.6654216975901107E-2</c:v>
                </c:pt>
                <c:pt idx="190">
                  <c:v>7.7059794843498466E-2</c:v>
                </c:pt>
                <c:pt idx="191">
                  <c:v>7.7465372711095826E-2</c:v>
                </c:pt>
                <c:pt idx="192">
                  <c:v>7.7870950578693185E-2</c:v>
                </c:pt>
                <c:pt idx="193">
                  <c:v>7.8276528446290544E-2</c:v>
                </c:pt>
                <c:pt idx="194">
                  <c:v>7.8682106313887903E-2</c:v>
                </c:pt>
                <c:pt idx="195">
                  <c:v>7.9087684181485263E-2</c:v>
                </c:pt>
                <c:pt idx="196">
                  <c:v>7.9493262049082622E-2</c:v>
                </c:pt>
                <c:pt idx="197">
                  <c:v>7.9898839916679981E-2</c:v>
                </c:pt>
                <c:pt idx="198">
                  <c:v>8.030441778427734E-2</c:v>
                </c:pt>
                <c:pt idx="199">
                  <c:v>8.07099956518747E-2</c:v>
                </c:pt>
                <c:pt idx="200">
                  <c:v>8.1115573519472059E-2</c:v>
                </c:pt>
              </c:numCache>
            </c:numRef>
          </c:cat>
          <c:val>
            <c:numRef>
              <c:f>'RLC Transient'!$C$22:$C$222</c:f>
              <c:numCache>
                <c:formatCode>0.0000</c:formatCode>
                <c:ptCount val="201"/>
                <c:pt idx="0">
                  <c:v>10</c:v>
                </c:pt>
                <c:pt idx="1">
                  <c:v>8.0926760751735198</c:v>
                </c:pt>
                <c:pt idx="2">
                  <c:v>6.4151157914715133</c:v>
                </c:pt>
                <c:pt idx="3">
                  <c:v>4.9500886869323644</c:v>
                </c:pt>
                <c:pt idx="4">
                  <c:v>3.6803669269208177</c:v>
                </c:pt>
                <c:pt idx="5">
                  <c:v>2.5889809711012872</c:v>
                </c:pt>
                <c:pt idx="6">
                  <c:v>1.6594244724722653</c:v>
                </c:pt>
                <c:pt idx="7">
                  <c:v>0.87581468038158938</c:v>
                </c:pt>
                <c:pt idx="8">
                  <c:v>0.22301412981679647</c:v>
                </c:pt>
                <c:pt idx="9">
                  <c:v>-0.31328108646366726</c:v>
                </c:pt>
                <c:pt idx="10">
                  <c:v>-0.74648164171674214</c:v>
                </c:pt>
                <c:pt idx="11">
                  <c:v>-1.0890695334395035</c:v>
                </c:pt>
                <c:pt idx="12">
                  <c:v>-1.3525829547746913</c:v>
                </c:pt>
                <c:pt idx="13">
                  <c:v>-1.5476179755608266</c:v>
                </c:pt>
                <c:pt idx="14">
                  <c:v>-1.6838439226314357</c:v>
                </c:pt>
                <c:pt idx="15">
                  <c:v>-1.7700297161943199</c:v>
                </c:pt>
                <c:pt idx="16">
                  <c:v>-1.8140787597302257</c:v>
                </c:pt>
                <c:pt idx="17">
                  <c:v>-1.8230702946624566</c:v>
                </c:pt>
                <c:pt idx="18">
                  <c:v>-1.8033054183171622</c:v>
                </c:pt>
                <c:pt idx="19">
                  <c:v>-1.7603562250193967</c:v>
                </c:pt>
                <c:pt idx="20">
                  <c:v>-1.6991167664288422</c:v>
                </c:pt>
                <c:pt idx="21">
                  <c:v>-1.6238547394993539</c:v>
                </c:pt>
                <c:pt idx="22">
                  <c:v>-1.5382629999935418</c:v>
                </c:pt>
                <c:pt idx="23">
                  <c:v>-1.4455101676514053</c:v>
                </c:pt>
                <c:pt idx="24">
                  <c:v>-1.3482897373248495</c:v>
                </c:pt>
                <c:pt idx="25">
                  <c:v>-1.248867240106442</c:v>
                </c:pt>
                <c:pt idx="26">
                  <c:v>-1.1491251111673879</c:v>
                </c:pt>
                <c:pt idx="27">
                  <c:v>-1.050605018126987</c:v>
                </c:pt>
                <c:pt idx="28">
                  <c:v>-0.95454748671919987</c:v>
                </c:pt>
                <c:pt idx="29">
                  <c:v>-0.86192873066832654</c:v>
                </c:pt>
                <c:pt idx="30">
                  <c:v>-0.77349465134069639</c:v>
                </c:pt>
                <c:pt idx="31">
                  <c:v>-0.68979202114024396</c:v>
                </c:pt>
                <c:pt idx="32">
                  <c:v>-0.61119690392506953</c:v>
                </c:pt>
                <c:pt idx="33">
                  <c:v>-0.53794039702396645</c:v>
                </c:pt>
                <c:pt idx="34">
                  <c:v>-0.47013180373087593</c:v>
                </c:pt>
                <c:pt idx="35">
                  <c:v>-0.40777936337518383</c:v>
                </c:pt>
                <c:pt idx="36">
                  <c:v>-0.35080867905190516</c:v>
                </c:pt>
                <c:pt idx="37">
                  <c:v>-0.29907899161528917</c:v>
                </c:pt>
                <c:pt idx="38">
                  <c:v>-0.25239745328586238</c:v>
                </c:pt>
                <c:pt idx="39">
                  <c:v>-0.21053155581599015</c:v>
                </c:pt>
                <c:pt idx="40">
                  <c:v>-0.17321986715757731</c:v>
                </c:pt>
                <c:pt idx="41">
                  <c:v>-0.14018122746908546</c:v>
                </c:pt>
                <c:pt idx="42">
                  <c:v>-0.1111225505199176</c:v>
                </c:pt>
                <c:pt idx="43">
                  <c:v>-8.5745370476862703E-2</c:v>
                </c:pt>
                <c:pt idx="44">
                  <c:v>-6.3751267017236657E-2</c:v>
                </c:pt>
                <c:pt idx="45">
                  <c:v>-4.4846293988765495E-2</c:v>
                </c:pt>
                <c:pt idx="46">
                  <c:v>-2.8744528667967728E-2</c:v>
                </c:pt>
                <c:pt idx="47">
                  <c:v>-1.5170850259034196E-2</c:v>
                </c:pt>
                <c:pt idx="48">
                  <c:v>-3.8630477941126173E-3</c:v>
                </c:pt>
                <c:pt idx="49">
                  <c:v>5.4266508180216277E-3</c:v>
                </c:pt>
                <c:pt idx="50">
                  <c:v>1.2930545081372813E-2</c:v>
                </c:pt>
                <c:pt idx="51">
                  <c:v>1.8864847990775147E-2</c:v>
                </c:pt>
                <c:pt idx="52">
                  <c:v>2.3429423974565822E-2</c:v>
                </c:pt>
                <c:pt idx="53">
                  <c:v>2.6807818013732998E-2</c:v>
                </c:pt>
                <c:pt idx="54">
                  <c:v>2.9167522059230677E-2</c:v>
                </c:pt>
                <c:pt idx="55">
                  <c:v>3.0660431230415952E-2</c:v>
                </c:pt>
                <c:pt idx="56">
                  <c:v>3.1423448177386959E-2</c:v>
                </c:pt>
                <c:pt idx="57">
                  <c:v>3.1579199426035487E-2</c:v>
                </c:pt>
                <c:pt idx="58">
                  <c:v>3.1236832500544764E-2</c:v>
                </c:pt>
                <c:pt idx="59">
                  <c:v>3.0492867144786828E-2</c:v>
                </c:pt>
                <c:pt idx="60">
                  <c:v>2.9432078056601085E-2</c:v>
                </c:pt>
                <c:pt idx="61">
                  <c:v>2.8128390225926836E-2</c:v>
                </c:pt>
                <c:pt idx="62">
                  <c:v>2.6645771251228467E-2</c:v>
                </c:pt>
                <c:pt idx="63">
                  <c:v>2.503910792154862E-2</c:v>
                </c:pt>
                <c:pt idx="64">
                  <c:v>2.3355056918934025E-2</c:v>
                </c:pt>
                <c:pt idx="65">
                  <c:v>2.163286174286938E-2</c:v>
                </c:pt>
                <c:pt idx="66">
                  <c:v>1.9905129910386066E-2</c:v>
                </c:pt>
                <c:pt idx="67">
                  <c:v>1.8198566167503927E-2</c:v>
                </c:pt>
                <c:pt idx="68">
                  <c:v>1.6534658884507891E-2</c:v>
                </c:pt>
                <c:pt idx="69">
                  <c:v>1.4930318022567945E-2</c:v>
                </c:pt>
                <c:pt idx="70">
                  <c:v>1.3398464075233818E-2</c:v>
                </c:pt>
                <c:pt idx="71">
                  <c:v>1.1948568226825884E-2</c:v>
                </c:pt>
                <c:pt idx="72">
                  <c:v>1.0587144650500591E-2</c:v>
                </c:pt>
                <c:pt idx="73">
                  <c:v>9.318196411118862E-3</c:v>
                </c:pt>
                <c:pt idx="74">
                  <c:v>8.1436168588808755E-3</c:v>
                </c:pt>
                <c:pt idx="75">
                  <c:v>7.0635487153456467E-3</c:v>
                </c:pt>
                <c:pt idx="76">
                  <c:v>6.0767032783104469E-3</c:v>
                </c:pt>
                <c:pt idx="77">
                  <c:v>5.1806423197220397E-3</c:v>
                </c:pt>
                <c:pt idx="78">
                  <c:v>4.3720253329091463E-3</c:v>
                </c:pt>
                <c:pt idx="79">
                  <c:v>3.646824813094085E-3</c:v>
                </c:pt>
                <c:pt idx="80">
                  <c:v>3.0005122378078397E-3</c:v>
                </c:pt>
                <c:pt idx="81">
                  <c:v>2.4282173600180812E-3</c:v>
                </c:pt>
                <c:pt idx="82">
                  <c:v>1.9248633439268303E-3</c:v>
                </c:pt>
                <c:pt idx="83">
                  <c:v>1.4852801683389316E-3</c:v>
                </c:pt>
                <c:pt idx="84">
                  <c:v>1.1042986003850785E-3</c:v>
                </c:pt>
                <c:pt idx="85">
                  <c:v>7.7682690872293847E-4</c:v>
                </c:pt>
                <c:pt idx="86">
                  <c:v>4.9791234373763871E-4</c:v>
                </c:pt>
                <c:pt idx="87">
                  <c:v>2.6278926665312952E-4</c:v>
                </c:pt>
                <c:pt idx="88">
                  <c:v>6.6915662571886969E-5</c:v>
                </c:pt>
                <c:pt idx="89">
                  <c:v>-9.4000373380254132E-5</c:v>
                </c:pt>
                <c:pt idx="90">
                  <c:v>-2.2398273012669279E-4</c:v>
                </c:pt>
                <c:pt idx="91">
                  <c:v>-3.2677664628977254E-4</c:v>
                </c:pt>
                <c:pt idx="92">
                  <c:v>-4.0584417084588154E-4</c:v>
                </c:pt>
                <c:pt idx="93">
                  <c:v>-4.6436466751309524E-4</c:v>
                </c:pt>
                <c:pt idx="94">
                  <c:v>-5.0523942964098012E-4</c:v>
                </c:pt>
                <c:pt idx="95">
                  <c:v>-5.3109958247254951E-4</c:v>
                </c:pt>
                <c:pt idx="96">
                  <c:v>-5.4431655189191019E-4</c:v>
                </c:pt>
                <c:pt idx="97">
                  <c:v>-5.4701447295180117E-4</c:v>
                </c:pt>
                <c:pt idx="98">
                  <c:v>-5.410839976160986E-4</c:v>
                </c:pt>
                <c:pt idx="99">
                  <c:v>-5.2819703960693687E-4</c:v>
                </c:pt>
                <c:pt idx="100">
                  <c:v>-5.0982206511385186E-4</c:v>
                </c:pt>
                <c:pt idx="101">
                  <c:v>-4.8723960182961434E-4</c:v>
                </c:pt>
                <c:pt idx="102">
                  <c:v>-4.6155769564570903E-4</c:v>
                </c:pt>
                <c:pt idx="103">
                  <c:v>-4.3372709479250204E-4</c:v>
                </c:pt>
                <c:pt idx="104">
                  <c:v>-4.0455598569444362E-4</c:v>
                </c:pt>
                <c:pt idx="105">
                  <c:v>-3.7472414373418417E-4</c:v>
                </c:pt>
                <c:pt idx="106">
                  <c:v>-3.4479639588269606E-4</c:v>
                </c:pt>
                <c:pt idx="107">
                  <c:v>-3.1523532140020905E-4</c:v>
                </c:pt>
                <c:pt idx="108">
                  <c:v>-2.8641314154675968E-4</c:v>
                </c:pt>
                <c:pt idx="109">
                  <c:v>-2.5862277044907955E-4</c:v>
                </c:pt>
                <c:pt idx="110">
                  <c:v>-2.3208801672147672E-4</c:v>
                </c:pt>
                <c:pt idx="111">
                  <c:v>-2.0697294009686118E-4</c:v>
                </c:pt>
                <c:pt idx="112">
                  <c:v>-1.8339037899472999E-4</c:v>
                </c:pt>
                <c:pt idx="113">
                  <c:v>-1.6140967444755461E-4</c:v>
                </c:pt>
                <c:pt idx="114">
                  <c:v>-1.4106362304922015E-4</c:v>
                </c:pt>
                <c:pt idx="115">
                  <c:v>-1.2235469701238344E-4</c:v>
                </c:pt>
                <c:pt idx="116">
                  <c:v>-1.0526057346282869E-4</c:v>
                </c:pt>
                <c:pt idx="117">
                  <c:v>-8.973901744191437E-5</c:v>
                </c:pt>
                <c:pt idx="118">
                  <c:v>-7.5732164738440133E-5</c:v>
                </c:pt>
                <c:pt idx="119">
                  <c:v>-6.3170250967914399E-5</c:v>
                </c:pt>
                <c:pt idx="120">
                  <c:v>-5.1974833123580311E-5</c:v>
                </c:pt>
                <c:pt idx="121">
                  <c:v>-4.2061548853666864E-5</c:v>
                </c:pt>
                <c:pt idx="122">
                  <c:v>-3.3342457275153947E-5</c:v>
                </c:pt>
                <c:pt idx="123">
                  <c:v>-2.57280033455487E-5</c:v>
                </c:pt>
                <c:pt idx="124">
                  <c:v>-1.9128645687871426E-5</c:v>
                </c:pt>
                <c:pt idx="125">
                  <c:v>-1.3456185392612952E-5</c:v>
                </c:pt>
                <c:pt idx="126">
                  <c:v>-8.6248310040559772E-6</c:v>
                </c:pt>
                <c:pt idx="127">
                  <c:v>-4.5520321858560919E-6</c:v>
                </c:pt>
                <c:pt idx="128">
                  <c:v>-1.1591122177634361E-6</c:v>
                </c:pt>
                <c:pt idx="129">
                  <c:v>1.6282732175909587E-6</c:v>
                </c:pt>
                <c:pt idx="130">
                  <c:v>3.879825875685583E-6</c:v>
                </c:pt>
                <c:pt idx="131">
                  <c:v>5.6604207276933494E-6</c:v>
                </c:pt>
                <c:pt idx="132">
                  <c:v>7.0300273371515232E-6</c:v>
                </c:pt>
                <c:pt idx="133">
                  <c:v>8.0437186014137296E-6</c:v>
                </c:pt>
                <c:pt idx="134">
                  <c:v>8.7517506877077267E-6</c:v>
                </c:pt>
                <c:pt idx="135">
                  <c:v>9.1996999120880218E-6</c:v>
                </c:pt>
                <c:pt idx="136">
                  <c:v>9.4286440806001792E-6</c:v>
                </c:pt>
                <c:pt idx="137">
                  <c:v>9.4753774337874574E-6</c:v>
                </c:pt>
                <c:pt idx="138">
                  <c:v>9.3726498207047371E-6</c:v>
                </c:pt>
                <c:pt idx="139">
                  <c:v>9.1494221035048895E-6</c:v>
                </c:pt>
                <c:pt idx="140">
                  <c:v>8.8311310371125273E-6</c:v>
                </c:pt>
                <c:pt idx="141">
                  <c:v>8.4399579094451838E-6</c:v>
                </c:pt>
                <c:pt idx="142">
                  <c:v>7.9950962739161469E-6</c:v>
                </c:pt>
                <c:pt idx="143">
                  <c:v>7.5130149745916697E-6</c:v>
                </c:pt>
                <c:pt idx="144">
                  <c:v>7.0077134104451488E-6</c:v>
                </c:pt>
                <c:pt idx="145">
                  <c:v>6.4909666406265387E-6</c:v>
                </c:pt>
                <c:pt idx="146">
                  <c:v>5.9725585899172984E-6</c:v>
                </c:pt>
                <c:pt idx="147">
                  <c:v>5.4605020469722376E-6</c:v>
                </c:pt>
                <c:pt idx="148">
                  <c:v>4.9612446328950455E-6</c:v>
                </c:pt>
                <c:pt idx="149">
                  <c:v>4.4798601930295945E-6</c:v>
                </c:pt>
                <c:pt idx="150">
                  <c:v>4.0202255426891043E-6</c:v>
                </c:pt>
                <c:pt idx="151">
                  <c:v>3.5851825188615294E-6</c:v>
                </c:pt>
                <c:pt idx="152">
                  <c:v>3.1766857091497513E-6</c:v>
                </c:pt>
                <c:pt idx="153">
                  <c:v>2.7959362380869379E-6</c:v>
                </c:pt>
                <c:pt idx="154">
                  <c:v>2.4435022041302545E-6</c:v>
                </c:pt>
                <c:pt idx="155">
                  <c:v>2.119426437019456E-6</c:v>
                </c:pt>
                <c:pt idx="156">
                  <c:v>1.8233222558450279E-6</c:v>
                </c:pt>
                <c:pt idx="157">
                  <c:v>1.5544580680426634E-6</c:v>
                </c:pt>
                <c:pt idx="158">
                  <c:v>1.3118315518312329E-6</c:v>
                </c:pt>
                <c:pt idx="159">
                  <c:v>1.0942342498765356E-6</c:v>
                </c:pt>
                <c:pt idx="160">
                  <c:v>9.0030736821233859E-7</c:v>
                </c:pt>
                <c:pt idx="161">
                  <c:v>7.2858959221377972E-7</c:v>
                </c:pt>
                <c:pt idx="162">
                  <c:v>5.7755760174416082E-7</c:v>
                </c:pt>
                <c:pt idx="163">
                  <c:v>4.4566013279734307E-7</c:v>
                </c:pt>
                <c:pt idx="164">
                  <c:v>3.3134614518814942E-7</c:v>
                </c:pt>
                <c:pt idx="165">
                  <c:v>2.330878654532853E-7</c:v>
                </c:pt>
                <c:pt idx="166">
                  <c:v>1.4939920767176318E-7</c:v>
                </c:pt>
                <c:pt idx="167">
                  <c:v>7.8850241891359474E-8</c:v>
                </c:pt>
                <c:pt idx="168">
                  <c:v>2.0078125828604243E-8</c:v>
                </c:pt>
                <c:pt idx="169">
                  <c:v>-2.820492639443728E-8</c:v>
                </c:pt>
                <c:pt idx="170">
                  <c:v>-6.7206292087007569E-8</c:v>
                </c:pt>
                <c:pt idx="171">
                  <c:v>-9.8049733665561689E-8</c:v>
                </c:pt>
                <c:pt idx="172">
                  <c:v>-1.2177403974078516E-7</c:v>
                </c:pt>
                <c:pt idx="173">
                  <c:v>-1.3933318676606632E-7</c:v>
                </c:pt>
                <c:pt idx="174">
                  <c:v>-1.5159770860861954E-7</c:v>
                </c:pt>
                <c:pt idx="175">
                  <c:v>-1.5935708042036367E-7</c:v>
                </c:pt>
                <c:pt idx="176">
                  <c:v>-1.6332284680231623E-7</c:v>
                </c:pt>
                <c:pt idx="177">
                  <c:v>-1.641323628120972E-7</c:v>
                </c:pt>
                <c:pt idx="178">
                  <c:v>-1.6235291688815323E-7</c:v>
                </c:pt>
                <c:pt idx="179">
                  <c:v>-1.5848616818914252E-7</c:v>
                </c:pt>
                <c:pt idx="180">
                  <c:v>-1.5297273492365093E-7</c:v>
                </c:pt>
                <c:pt idx="181">
                  <c:v>-1.4619683952332707E-7</c:v>
                </c:pt>
                <c:pt idx="182">
                  <c:v>-1.3849095203966044E-7</c:v>
                </c:pt>
                <c:pt idx="183">
                  <c:v>-1.3014034472291769E-7</c:v>
                </c:pt>
                <c:pt idx="184">
                  <c:v>-1.2138751870338638E-7</c:v>
                </c:pt>
                <c:pt idx="185">
                  <c:v>-1.1243643882608012E-7</c:v>
                </c:pt>
                <c:pt idx="186">
                  <c:v>-1.0345658196797558E-7</c:v>
                </c:pt>
                <c:pt idx="187">
                  <c:v>-9.4586745547076134E-8</c:v>
                </c:pt>
                <c:pt idx="188">
                  <c:v>-8.5938612670588554E-8</c:v>
                </c:pt>
                <c:pt idx="189">
                  <c:v>-7.7600079251283205E-8</c:v>
                </c:pt>
                <c:pt idx="190">
                  <c:v>-6.9638293354046255E-8</c:v>
                </c:pt>
                <c:pt idx="191">
                  <c:v>-6.2102483155968002E-8</c:v>
                </c:pt>
                <c:pt idx="192">
                  <c:v>-5.5026507794764257E-8</c:v>
                </c:pt>
                <c:pt idx="193">
                  <c:v>-4.8431171961738073E-8</c:v>
                </c:pt>
                <c:pt idx="194">
                  <c:v>-4.2326311344709211E-8</c:v>
                </c:pt>
                <c:pt idx="195">
                  <c:v>-3.6712675566263897E-8</c:v>
                </c:pt>
                <c:pt idx="196">
                  <c:v>-3.1583565984760753E-8</c:v>
                </c:pt>
                <c:pt idx="197">
                  <c:v>-2.692630296508014E-8</c:v>
                </c:pt>
                <c:pt idx="198">
                  <c:v>-2.2723527948187439E-8</c:v>
                </c:pt>
                <c:pt idx="199">
                  <c:v>-1.8954311897800835E-8</c:v>
                </c:pt>
                <c:pt idx="200">
                  <c:v>-1.5595112756727758E-8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99C-4EB9-AA98-992E28CC9579}"/>
            </c:ext>
          </c:extLst>
        </c:ser>
        <c:ser>
          <c:idx val="2"/>
          <c:order val="2"/>
          <c:tx>
            <c:strRef>
              <c:f>'RLC Transient'!$D$21</c:f>
              <c:strCache>
                <c:ptCount val="1"/>
                <c:pt idx="0">
                  <c:v>V_C - Voltage across Capacitor (V)</c:v>
                </c:pt>
              </c:strCache>
            </c:strRef>
          </c:tx>
          <c:spPr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'RLC Transient'!$A$22:$A$222</c:f>
              <c:numCache>
                <c:formatCode>0.000000</c:formatCode>
                <c:ptCount val="201"/>
                <c:pt idx="0">
                  <c:v>0</c:v>
                </c:pt>
                <c:pt idx="1">
                  <c:v>4.0557786759736126E-4</c:v>
                </c:pt>
                <c:pt idx="2">
                  <c:v>8.1115573519472252E-4</c:v>
                </c:pt>
                <c:pt idx="3">
                  <c:v>1.2167336027920838E-3</c:v>
                </c:pt>
                <c:pt idx="4">
                  <c:v>1.622311470389445E-3</c:v>
                </c:pt>
                <c:pt idx="5">
                  <c:v>2.0278893379868062E-3</c:v>
                </c:pt>
                <c:pt idx="6">
                  <c:v>2.4334672055841677E-3</c:v>
                </c:pt>
                <c:pt idx="7">
                  <c:v>2.8390450731815291E-3</c:v>
                </c:pt>
                <c:pt idx="8">
                  <c:v>3.2446229407788905E-3</c:v>
                </c:pt>
                <c:pt idx="9">
                  <c:v>3.6502008083762519E-3</c:v>
                </c:pt>
                <c:pt idx="10">
                  <c:v>4.0557786759736134E-3</c:v>
                </c:pt>
                <c:pt idx="11">
                  <c:v>4.4613565435709743E-3</c:v>
                </c:pt>
                <c:pt idx="12">
                  <c:v>4.8669344111683353E-3</c:v>
                </c:pt>
                <c:pt idx="13">
                  <c:v>5.2725122787656963E-3</c:v>
                </c:pt>
                <c:pt idx="14">
                  <c:v>5.6780901463630573E-3</c:v>
                </c:pt>
                <c:pt idx="15">
                  <c:v>6.0836680139604183E-3</c:v>
                </c:pt>
                <c:pt idx="16">
                  <c:v>6.4892458815577793E-3</c:v>
                </c:pt>
                <c:pt idx="17">
                  <c:v>6.8948237491551403E-3</c:v>
                </c:pt>
                <c:pt idx="18">
                  <c:v>7.3004016167525013E-3</c:v>
                </c:pt>
                <c:pt idx="19">
                  <c:v>7.7059794843498623E-3</c:v>
                </c:pt>
                <c:pt idx="20">
                  <c:v>8.1115573519472232E-3</c:v>
                </c:pt>
                <c:pt idx="21">
                  <c:v>8.5171352195445842E-3</c:v>
                </c:pt>
                <c:pt idx="22">
                  <c:v>8.9227130871419452E-3</c:v>
                </c:pt>
                <c:pt idx="23">
                  <c:v>9.3282909547393062E-3</c:v>
                </c:pt>
                <c:pt idx="24">
                  <c:v>9.7338688223366672E-3</c:v>
                </c:pt>
                <c:pt idx="25">
                  <c:v>1.0139446689934028E-2</c:v>
                </c:pt>
                <c:pt idx="26">
                  <c:v>1.0545024557531389E-2</c:v>
                </c:pt>
                <c:pt idx="27">
                  <c:v>1.095060242512875E-2</c:v>
                </c:pt>
                <c:pt idx="28">
                  <c:v>1.1356180292726111E-2</c:v>
                </c:pt>
                <c:pt idx="29">
                  <c:v>1.1761758160323472E-2</c:v>
                </c:pt>
                <c:pt idx="30">
                  <c:v>1.2167336027920833E-2</c:v>
                </c:pt>
                <c:pt idx="31">
                  <c:v>1.2572913895518194E-2</c:v>
                </c:pt>
                <c:pt idx="32">
                  <c:v>1.2978491763115555E-2</c:v>
                </c:pt>
                <c:pt idx="33">
                  <c:v>1.3384069630712916E-2</c:v>
                </c:pt>
                <c:pt idx="34">
                  <c:v>1.3789647498310277E-2</c:v>
                </c:pt>
                <c:pt idx="35">
                  <c:v>1.4195225365907638E-2</c:v>
                </c:pt>
                <c:pt idx="36">
                  <c:v>1.4600803233504999E-2</c:v>
                </c:pt>
                <c:pt idx="37">
                  <c:v>1.500638110110236E-2</c:v>
                </c:pt>
                <c:pt idx="38">
                  <c:v>1.5411958968699721E-2</c:v>
                </c:pt>
                <c:pt idx="39">
                  <c:v>1.5817536836297084E-2</c:v>
                </c:pt>
                <c:pt idx="40">
                  <c:v>1.6223114703894446E-2</c:v>
                </c:pt>
                <c:pt idx="41">
                  <c:v>1.6628692571491809E-2</c:v>
                </c:pt>
                <c:pt idx="42">
                  <c:v>1.7034270439089172E-2</c:v>
                </c:pt>
                <c:pt idx="43">
                  <c:v>1.7439848306686535E-2</c:v>
                </c:pt>
                <c:pt idx="44">
                  <c:v>1.7845426174283897E-2</c:v>
                </c:pt>
                <c:pt idx="45">
                  <c:v>1.825100404188126E-2</c:v>
                </c:pt>
                <c:pt idx="46">
                  <c:v>1.8656581909478623E-2</c:v>
                </c:pt>
                <c:pt idx="47">
                  <c:v>1.9062159777075986E-2</c:v>
                </c:pt>
                <c:pt idx="48">
                  <c:v>1.9467737644673348E-2</c:v>
                </c:pt>
                <c:pt idx="49">
                  <c:v>1.9873315512270711E-2</c:v>
                </c:pt>
                <c:pt idx="50">
                  <c:v>2.0278893379868074E-2</c:v>
                </c:pt>
                <c:pt idx="51">
                  <c:v>2.0684471247465436E-2</c:v>
                </c:pt>
                <c:pt idx="52">
                  <c:v>2.1090049115062799E-2</c:v>
                </c:pt>
                <c:pt idx="53">
                  <c:v>2.1495626982660162E-2</c:v>
                </c:pt>
                <c:pt idx="54">
                  <c:v>2.1901204850257525E-2</c:v>
                </c:pt>
                <c:pt idx="55">
                  <c:v>2.2306782717854887E-2</c:v>
                </c:pt>
                <c:pt idx="56">
                  <c:v>2.271236058545225E-2</c:v>
                </c:pt>
                <c:pt idx="57">
                  <c:v>2.3117938453049613E-2</c:v>
                </c:pt>
                <c:pt idx="58">
                  <c:v>2.3523516320646976E-2</c:v>
                </c:pt>
                <c:pt idx="59">
                  <c:v>2.3929094188244338E-2</c:v>
                </c:pt>
                <c:pt idx="60">
                  <c:v>2.4334672055841701E-2</c:v>
                </c:pt>
                <c:pt idx="61">
                  <c:v>2.4740249923439064E-2</c:v>
                </c:pt>
                <c:pt idx="62">
                  <c:v>2.5145827791036426E-2</c:v>
                </c:pt>
                <c:pt idx="63">
                  <c:v>2.5551405658633789E-2</c:v>
                </c:pt>
                <c:pt idx="64">
                  <c:v>2.5956983526231152E-2</c:v>
                </c:pt>
                <c:pt idx="65">
                  <c:v>2.6362561393828515E-2</c:v>
                </c:pt>
                <c:pt idx="66">
                  <c:v>2.6768139261425877E-2</c:v>
                </c:pt>
                <c:pt idx="67">
                  <c:v>2.717371712902324E-2</c:v>
                </c:pt>
                <c:pt idx="68">
                  <c:v>2.7579294996620603E-2</c:v>
                </c:pt>
                <c:pt idx="69">
                  <c:v>2.7984872864217965E-2</c:v>
                </c:pt>
                <c:pt idx="70">
                  <c:v>2.8390450731815328E-2</c:v>
                </c:pt>
                <c:pt idx="71">
                  <c:v>2.8796028599412691E-2</c:v>
                </c:pt>
                <c:pt idx="72">
                  <c:v>2.9201606467010054E-2</c:v>
                </c:pt>
                <c:pt idx="73">
                  <c:v>2.9607184334607416E-2</c:v>
                </c:pt>
                <c:pt idx="74">
                  <c:v>3.0012762202204779E-2</c:v>
                </c:pt>
                <c:pt idx="75">
                  <c:v>3.0418340069802142E-2</c:v>
                </c:pt>
                <c:pt idx="76">
                  <c:v>3.0823917937399505E-2</c:v>
                </c:pt>
                <c:pt idx="77">
                  <c:v>3.1229495804996867E-2</c:v>
                </c:pt>
                <c:pt idx="78">
                  <c:v>3.163507367259423E-2</c:v>
                </c:pt>
                <c:pt idx="79">
                  <c:v>3.2040651540191589E-2</c:v>
                </c:pt>
                <c:pt idx="80">
                  <c:v>3.2446229407788948E-2</c:v>
                </c:pt>
                <c:pt idx="81">
                  <c:v>3.2851807275386308E-2</c:v>
                </c:pt>
                <c:pt idx="82">
                  <c:v>3.3257385142983667E-2</c:v>
                </c:pt>
                <c:pt idx="83">
                  <c:v>3.3662963010581026E-2</c:v>
                </c:pt>
                <c:pt idx="84">
                  <c:v>3.4068540878178386E-2</c:v>
                </c:pt>
                <c:pt idx="85">
                  <c:v>3.4474118745775745E-2</c:v>
                </c:pt>
                <c:pt idx="86">
                  <c:v>3.4879696613373104E-2</c:v>
                </c:pt>
                <c:pt idx="87">
                  <c:v>3.5285274480970463E-2</c:v>
                </c:pt>
                <c:pt idx="88">
                  <c:v>3.5690852348567823E-2</c:v>
                </c:pt>
                <c:pt idx="89">
                  <c:v>3.6096430216165182E-2</c:v>
                </c:pt>
                <c:pt idx="90">
                  <c:v>3.6502008083762541E-2</c:v>
                </c:pt>
                <c:pt idx="91">
                  <c:v>3.69075859513599E-2</c:v>
                </c:pt>
                <c:pt idx="92">
                  <c:v>3.731316381895726E-2</c:v>
                </c:pt>
                <c:pt idx="93">
                  <c:v>3.7718741686554619E-2</c:v>
                </c:pt>
                <c:pt idx="94">
                  <c:v>3.8124319554151978E-2</c:v>
                </c:pt>
                <c:pt idx="95">
                  <c:v>3.8529897421749337E-2</c:v>
                </c:pt>
                <c:pt idx="96">
                  <c:v>3.8935475289346697E-2</c:v>
                </c:pt>
                <c:pt idx="97">
                  <c:v>3.9341053156944056E-2</c:v>
                </c:pt>
                <c:pt idx="98">
                  <c:v>3.9746631024541415E-2</c:v>
                </c:pt>
                <c:pt idx="99">
                  <c:v>4.0152208892138774E-2</c:v>
                </c:pt>
                <c:pt idx="100">
                  <c:v>4.0557786759736134E-2</c:v>
                </c:pt>
                <c:pt idx="101">
                  <c:v>4.0963364627333493E-2</c:v>
                </c:pt>
                <c:pt idx="102">
                  <c:v>4.1368942494930852E-2</c:v>
                </c:pt>
                <c:pt idx="103">
                  <c:v>4.1774520362528211E-2</c:v>
                </c:pt>
                <c:pt idx="104">
                  <c:v>4.2180098230125571E-2</c:v>
                </c:pt>
                <c:pt idx="105">
                  <c:v>4.258567609772293E-2</c:v>
                </c:pt>
                <c:pt idx="106">
                  <c:v>4.2991253965320289E-2</c:v>
                </c:pt>
                <c:pt idx="107">
                  <c:v>4.3396831832917648E-2</c:v>
                </c:pt>
                <c:pt idx="108">
                  <c:v>4.3802409700515008E-2</c:v>
                </c:pt>
                <c:pt idx="109">
                  <c:v>4.4207987568112367E-2</c:v>
                </c:pt>
                <c:pt idx="110">
                  <c:v>4.4613565435709726E-2</c:v>
                </c:pt>
                <c:pt idx="111">
                  <c:v>4.5019143303307085E-2</c:v>
                </c:pt>
                <c:pt idx="112">
                  <c:v>4.5424721170904445E-2</c:v>
                </c:pt>
                <c:pt idx="113">
                  <c:v>4.5830299038501804E-2</c:v>
                </c:pt>
                <c:pt idx="114">
                  <c:v>4.6235876906099163E-2</c:v>
                </c:pt>
                <c:pt idx="115">
                  <c:v>4.6641454773696522E-2</c:v>
                </c:pt>
                <c:pt idx="116">
                  <c:v>4.7047032641293882E-2</c:v>
                </c:pt>
                <c:pt idx="117">
                  <c:v>4.7452610508891241E-2</c:v>
                </c:pt>
                <c:pt idx="118">
                  <c:v>4.78581883764886E-2</c:v>
                </c:pt>
                <c:pt idx="119">
                  <c:v>4.8263766244085959E-2</c:v>
                </c:pt>
                <c:pt idx="120">
                  <c:v>4.8669344111683319E-2</c:v>
                </c:pt>
                <c:pt idx="121">
                  <c:v>4.9074921979280678E-2</c:v>
                </c:pt>
                <c:pt idx="122">
                  <c:v>4.9480499846878037E-2</c:v>
                </c:pt>
                <c:pt idx="123">
                  <c:v>4.9886077714475396E-2</c:v>
                </c:pt>
                <c:pt idx="124">
                  <c:v>5.0291655582072756E-2</c:v>
                </c:pt>
                <c:pt idx="125">
                  <c:v>5.0697233449670115E-2</c:v>
                </c:pt>
                <c:pt idx="126">
                  <c:v>5.1102811317267474E-2</c:v>
                </c:pt>
                <c:pt idx="127">
                  <c:v>5.1508389184864833E-2</c:v>
                </c:pt>
                <c:pt idx="128">
                  <c:v>5.1913967052462193E-2</c:v>
                </c:pt>
                <c:pt idx="129">
                  <c:v>5.2319544920059552E-2</c:v>
                </c:pt>
                <c:pt idx="130">
                  <c:v>5.2725122787656911E-2</c:v>
                </c:pt>
                <c:pt idx="131">
                  <c:v>5.313070065525427E-2</c:v>
                </c:pt>
                <c:pt idx="132">
                  <c:v>5.353627852285163E-2</c:v>
                </c:pt>
                <c:pt idx="133">
                  <c:v>5.3941856390448989E-2</c:v>
                </c:pt>
                <c:pt idx="134">
                  <c:v>5.4347434258046348E-2</c:v>
                </c:pt>
                <c:pt idx="135">
                  <c:v>5.4753012125643707E-2</c:v>
                </c:pt>
                <c:pt idx="136">
                  <c:v>5.5158589993241067E-2</c:v>
                </c:pt>
                <c:pt idx="137">
                  <c:v>5.5564167860838426E-2</c:v>
                </c:pt>
                <c:pt idx="138">
                  <c:v>5.5969745728435785E-2</c:v>
                </c:pt>
                <c:pt idx="139">
                  <c:v>5.6375323596033144E-2</c:v>
                </c:pt>
                <c:pt idx="140">
                  <c:v>5.6780901463630504E-2</c:v>
                </c:pt>
                <c:pt idx="141">
                  <c:v>5.7186479331227863E-2</c:v>
                </c:pt>
                <c:pt idx="142">
                  <c:v>5.7592057198825222E-2</c:v>
                </c:pt>
                <c:pt idx="143">
                  <c:v>5.7997635066422581E-2</c:v>
                </c:pt>
                <c:pt idx="144">
                  <c:v>5.8403212934019941E-2</c:v>
                </c:pt>
                <c:pt idx="145">
                  <c:v>5.88087908016173E-2</c:v>
                </c:pt>
                <c:pt idx="146">
                  <c:v>5.9214368669214659E-2</c:v>
                </c:pt>
                <c:pt idx="147">
                  <c:v>5.9619946536812019E-2</c:v>
                </c:pt>
                <c:pt idx="148">
                  <c:v>6.0025524404409378E-2</c:v>
                </c:pt>
                <c:pt idx="149">
                  <c:v>6.0431102272006737E-2</c:v>
                </c:pt>
                <c:pt idx="150">
                  <c:v>6.0836680139604096E-2</c:v>
                </c:pt>
                <c:pt idx="151">
                  <c:v>6.1242258007201456E-2</c:v>
                </c:pt>
                <c:pt idx="152">
                  <c:v>6.1647835874798815E-2</c:v>
                </c:pt>
                <c:pt idx="153">
                  <c:v>6.2053413742396174E-2</c:v>
                </c:pt>
                <c:pt idx="154">
                  <c:v>6.2458991609993533E-2</c:v>
                </c:pt>
                <c:pt idx="155">
                  <c:v>6.2864569477590893E-2</c:v>
                </c:pt>
                <c:pt idx="156">
                  <c:v>6.3270147345188252E-2</c:v>
                </c:pt>
                <c:pt idx="157">
                  <c:v>6.3675725212785611E-2</c:v>
                </c:pt>
                <c:pt idx="158">
                  <c:v>6.408130308038297E-2</c:v>
                </c:pt>
                <c:pt idx="159">
                  <c:v>6.448688094798033E-2</c:v>
                </c:pt>
                <c:pt idx="160">
                  <c:v>6.4892458815577689E-2</c:v>
                </c:pt>
                <c:pt idx="161">
                  <c:v>6.5298036683175048E-2</c:v>
                </c:pt>
                <c:pt idx="162">
                  <c:v>6.5703614550772407E-2</c:v>
                </c:pt>
                <c:pt idx="163">
                  <c:v>6.6109192418369767E-2</c:v>
                </c:pt>
                <c:pt idx="164">
                  <c:v>6.6514770285967126E-2</c:v>
                </c:pt>
                <c:pt idx="165">
                  <c:v>6.6920348153564485E-2</c:v>
                </c:pt>
                <c:pt idx="166">
                  <c:v>6.7325926021161844E-2</c:v>
                </c:pt>
                <c:pt idx="167">
                  <c:v>6.7731503888759204E-2</c:v>
                </c:pt>
                <c:pt idx="168">
                  <c:v>6.8137081756356563E-2</c:v>
                </c:pt>
                <c:pt idx="169">
                  <c:v>6.8542659623953922E-2</c:v>
                </c:pt>
                <c:pt idx="170">
                  <c:v>6.8948237491551281E-2</c:v>
                </c:pt>
                <c:pt idx="171">
                  <c:v>6.9353815359148641E-2</c:v>
                </c:pt>
                <c:pt idx="172">
                  <c:v>6.9759393226746E-2</c:v>
                </c:pt>
                <c:pt idx="173">
                  <c:v>7.0164971094343359E-2</c:v>
                </c:pt>
                <c:pt idx="174">
                  <c:v>7.0570548961940718E-2</c:v>
                </c:pt>
                <c:pt idx="175">
                  <c:v>7.0976126829538078E-2</c:v>
                </c:pt>
                <c:pt idx="176">
                  <c:v>7.1381704697135437E-2</c:v>
                </c:pt>
                <c:pt idx="177">
                  <c:v>7.1787282564732796E-2</c:v>
                </c:pt>
                <c:pt idx="178">
                  <c:v>7.2192860432330155E-2</c:v>
                </c:pt>
                <c:pt idx="179">
                  <c:v>7.2598438299927515E-2</c:v>
                </c:pt>
                <c:pt idx="180">
                  <c:v>7.3004016167524874E-2</c:v>
                </c:pt>
                <c:pt idx="181">
                  <c:v>7.3409594035122233E-2</c:v>
                </c:pt>
                <c:pt idx="182">
                  <c:v>7.3815171902719592E-2</c:v>
                </c:pt>
                <c:pt idx="183">
                  <c:v>7.4220749770316952E-2</c:v>
                </c:pt>
                <c:pt idx="184">
                  <c:v>7.4626327637914311E-2</c:v>
                </c:pt>
                <c:pt idx="185">
                  <c:v>7.503190550551167E-2</c:v>
                </c:pt>
                <c:pt idx="186">
                  <c:v>7.5437483373109029E-2</c:v>
                </c:pt>
                <c:pt idx="187">
                  <c:v>7.5843061240706389E-2</c:v>
                </c:pt>
                <c:pt idx="188">
                  <c:v>7.6248639108303748E-2</c:v>
                </c:pt>
                <c:pt idx="189">
                  <c:v>7.6654216975901107E-2</c:v>
                </c:pt>
                <c:pt idx="190">
                  <c:v>7.7059794843498466E-2</c:v>
                </c:pt>
                <c:pt idx="191">
                  <c:v>7.7465372711095826E-2</c:v>
                </c:pt>
                <c:pt idx="192">
                  <c:v>7.7870950578693185E-2</c:v>
                </c:pt>
                <c:pt idx="193">
                  <c:v>7.8276528446290544E-2</c:v>
                </c:pt>
                <c:pt idx="194">
                  <c:v>7.8682106313887903E-2</c:v>
                </c:pt>
                <c:pt idx="195">
                  <c:v>7.9087684181485263E-2</c:v>
                </c:pt>
                <c:pt idx="196">
                  <c:v>7.9493262049082622E-2</c:v>
                </c:pt>
                <c:pt idx="197">
                  <c:v>7.9898839916679981E-2</c:v>
                </c:pt>
                <c:pt idx="198">
                  <c:v>8.030441778427734E-2</c:v>
                </c:pt>
                <c:pt idx="199">
                  <c:v>8.07099956518747E-2</c:v>
                </c:pt>
                <c:pt idx="200">
                  <c:v>8.1115573519472059E-2</c:v>
                </c:pt>
              </c:numCache>
            </c:numRef>
          </c:cat>
          <c:val>
            <c:numRef>
              <c:f>'RLC Transient'!$D$22:$D$222</c:f>
              <c:numCache>
                <c:formatCode>0.0000</c:formatCode>
                <c:ptCount val="201"/>
                <c:pt idx="0">
                  <c:v>0</c:v>
                </c:pt>
                <c:pt idx="1">
                  <c:v>7.6853942164410993E-2</c:v>
                </c:pt>
                <c:pt idx="2">
                  <c:v>0.28714204578327629</c:v>
                </c:pt>
                <c:pt idx="3">
                  <c:v>0.60324590970829761</c:v>
                </c:pt>
                <c:pt idx="4">
                  <c:v>1.0010431709987933</c:v>
                </c:pt>
                <c:pt idx="5">
                  <c:v>1.4596244684003135</c:v>
                </c:pt>
                <c:pt idx="6">
                  <c:v>1.9610145850359295</c:v>
                </c:pt>
                <c:pt idx="7">
                  <c:v>2.4899011493619341</c:v>
                </c:pt>
                <c:pt idx="8">
                  <c:v>3.0333735408377152</c:v>
                </c:pt>
                <c:pt idx="9">
                  <c:v>3.5806740092781366</c:v>
                </c:pt>
                <c:pt idx="10">
                  <c:v>4.1229624665145339</c:v>
                </c:pt>
                <c:pt idx="11">
                  <c:v>4.6530959379759622</c:v>
                </c:pt>
                <c:pt idx="12">
                  <c:v>5.1654232625581731</c:v>
                </c:pt>
                <c:pt idx="13">
                  <c:v>5.6555952944366101</c:v>
                </c:pt>
                <c:pt idx="14">
                  <c:v>6.1203905834331067</c:v>
                </c:pt>
                <c:pt idx="15">
                  <c:v>6.5575562846989834</c:v>
                </c:pt>
                <c:pt idx="16">
                  <c:v>6.9656638677900133</c:v>
                </c:pt>
                <c:pt idx="17">
                  <c:v>7.3439790540787699</c:v>
                </c:pt>
                <c:pt idx="18">
                  <c:v>7.6923453047150216</c:v>
                </c:pt>
                <c:pt idx="19">
                  <c:v>8.0110801042784985</c:v>
                </c:pt>
                <c:pt idx="20">
                  <c:v>8.3008832335711578</c:v>
                </c:pt>
                <c:pt idx="21">
                  <c:v>8.5627561947797943</c:v>
                </c:pt>
                <c:pt idx="22">
                  <c:v>8.797931940011237</c:v>
                </c:pt>
                <c:pt idx="23">
                  <c:v>9.0078140568414096</c:v>
                </c:pt>
                <c:pt idx="24">
                  <c:v>9.1939245792581854</c:v>
                </c:pt>
                <c:pt idx="25">
                  <c:v>9.3578596167761319</c:v>
                </c:pt>
                <c:pt idx="26">
                  <c:v>9.5012520264231544</c:v>
                </c:pt>
                <c:pt idx="27">
                  <c:v>9.6257403898891862</c:v>
                </c:pt>
                <c:pt idx="28">
                  <c:v>9.7329435997860294</c:v>
                </c:pt>
                <c:pt idx="29">
                  <c:v>9.824440403329076</c:v>
                </c:pt>
                <c:pt idx="30">
                  <c:v>9.9017532976602425</c:v>
                </c:pt>
                <c:pt idx="31">
                  <c:v>9.9663362175204799</c:v>
                </c:pt>
                <c:pt idx="32">
                  <c:v>10.019565502251996</c:v>
                </c:pt>
                <c:pt idx="33">
                  <c:v>10.062733674516661</c:v>
                </c:pt>
                <c:pt idx="34">
                  <c:v>10.097045607141711</c:v>
                </c:pt>
                <c:pt idx="35">
                  <c:v>10.123616696745932</c:v>
                </c:pt>
                <c:pt idx="36">
                  <c:v>10.143472702958027</c:v>
                </c:pt>
                <c:pt idx="37">
                  <c:v>10.157550949899129</c:v>
                </c:pt>
                <c:pt idx="38">
                  <c:v>10.166702622022633</c:v>
                </c:pt>
                <c:pt idx="39">
                  <c:v>10.171695919307343</c:v>
                </c:pt>
                <c:pt idx="40">
                  <c:v>10.173219867157577</c:v>
                </c:pt>
                <c:pt idx="41">
                  <c:v>10.17188860419235</c:v>
                </c:pt>
                <c:pt idx="42">
                  <c:v>10.168245996454983</c:v>
                </c:pt>
                <c:pt idx="43">
                  <c:v>10.162770449523272</c:v>
                </c:pt>
                <c:pt idx="44">
                  <c:v>10.155879810647635</c:v>
                </c:pt>
                <c:pt idx="45">
                  <c:v>10.147936271505952</c:v>
                </c:pt>
                <c:pt idx="46">
                  <c:v>10.139251198566177</c:v>
                </c:pt>
                <c:pt idx="47">
                  <c:v>10.130089832524778</c:v>
                </c:pt>
                <c:pt idx="48">
                  <c:v>10.120675810979254</c:v>
                </c:pt>
                <c:pt idx="49">
                  <c:v>10.111195479535402</c:v>
                </c:pt>
                <c:pt idx="50">
                  <c:v>10.101801966083045</c:v>
                </c:pt>
                <c:pt idx="51">
                  <c:v>10.09261900113281</c:v>
                </c:pt>
                <c:pt idx="52">
                  <c:v>10.083744474022279</c:v>
                </c:pt>
                <c:pt idx="53">
                  <c:v>10.075253720597644</c:v>
                </c:pt>
                <c:pt idx="54">
                  <c:v>10.0672025427761</c:v>
                </c:pt>
                <c:pt idx="55">
                  <c:v>10.059629964306186</c:v>
                </c:pt>
                <c:pt idx="56">
                  <c:v>10.052560730173283</c:v>
                </c:pt>
                <c:pt idx="57">
                  <c:v>10.046007559542021</c:v>
                </c:pt>
                <c:pt idx="58">
                  <c:v>10.039973163976281</c:v>
                </c:pt>
                <c:pt idx="59">
                  <c:v>10.034452044012394</c:v>
                </c:pt>
                <c:pt idx="60">
                  <c:v>10.029432078056601</c:v>
                </c:pt>
                <c:pt idx="61">
                  <c:v>10.024895918101329</c:v>
                </c:pt>
                <c:pt idx="62">
                  <c:v>10.020822206966562</c:v>
                </c:pt>
                <c:pt idx="63">
                  <c:v>10.017186631726956</c:v>
                </c:pt>
                <c:pt idx="64">
                  <c:v>10.013962827729987</c:v>
                </c:pt>
                <c:pt idx="65">
                  <c:v>10.011123147187854</c:v>
                </c:pt>
                <c:pt idx="66">
                  <c:v>10.008639305772808</c:v>
                </c:pt>
                <c:pt idx="67">
                  <c:v>10.006482919994584</c:v>
                </c:pt>
                <c:pt idx="68">
                  <c:v>10.004625947416866</c:v>
                </c:pt>
                <c:pt idx="69">
                  <c:v>10.003041041001357</c:v>
                </c:pt>
                <c:pt idx="70">
                  <c:v>10.001701828072795</c:v>
                </c:pt>
                <c:pt idx="71">
                  <c:v>10.000583123592913</c:v>
                </c:pt>
                <c:pt idx="72">
                  <c:v>9.9996610866299047</c:v>
                </c:pt>
                <c:pt idx="73">
                  <c:v>9.9989133281233915</c:v>
                </c:pt>
                <c:pt idx="74">
                  <c:v>9.9983189772822687</c:v>
                </c:pt>
                <c:pt idx="75">
                  <c:v>9.9978587132211203</c:v>
                </c:pt>
                <c:pt idx="76">
                  <c:v>9.9975147677452867</c:v>
                </c:pt>
                <c:pt idx="77">
                  <c:v>9.9972709045387926</c:v>
                </c:pt>
                <c:pt idx="78">
                  <c:v>9.9971123793958423</c:v>
                </c:pt>
                <c:pt idx="79">
                  <c:v>9.9970258855666074</c:v>
                </c:pt>
                <c:pt idx="80">
                  <c:v>9.9969994877621922</c:v>
                </c:pt>
                <c:pt idx="81">
                  <c:v>9.9970225478815902</c:v>
                </c:pt>
                <c:pt idx="82">
                  <c:v>9.997085645084427</c:v>
                </c:pt>
                <c:pt idx="83">
                  <c:v>9.9971804924356391</c:v>
                </c:pt>
                <c:pt idx="84">
                  <c:v>9.9972998519907073</c:v>
                </c:pt>
                <c:pt idx="85">
                  <c:v>9.9974374498701959</c:v>
                </c:pt>
                <c:pt idx="86">
                  <c:v>9.9975878925882835</c:v>
                </c:pt>
                <c:pt idx="87">
                  <c:v>9.9977465856491516</c:v>
                </c:pt>
                <c:pt idx="88">
                  <c:v>9.9979096552053033</c:v>
                </c:pt>
                <c:pt idx="89">
                  <c:v>9.9980738733806351</c:v>
                </c:pt>
                <c:pt idx="90">
                  <c:v>9.998236587695871</c:v>
                </c:pt>
                <c:pt idx="91">
                  <c:v>9.9983956548927502</c:v>
                </c:pt>
                <c:pt idx="92">
                  <c:v>9.9985493793334683</c:v>
                </c:pt>
                <c:pt idx="93">
                  <c:v>9.9986964560514977</c:v>
                </c:pt>
                <c:pt idx="94">
                  <c:v>9.9988359184467672</c:v>
                </c:pt>
                <c:pt idx="95">
                  <c:v>9.9989670905504262</c:v>
                </c:pt>
                <c:pt idx="96">
                  <c:v>9.9990895437301681</c:v>
                </c:pt>
                <c:pt idx="97">
                  <c:v>9.9992030576647881</c:v>
                </c:pt>
                <c:pt idx="98">
                  <c:v>9.9993075853846154</c:v>
                </c:pt>
                <c:pt idx="99">
                  <c:v>9.9994032221512867</c:v>
                </c:pt>
                <c:pt idx="100">
                  <c:v>9.9994901779348861</c:v>
                </c:pt>
                <c:pt idx="101">
                  <c:v>9.9995687532373729</c:v>
                </c:pt>
                <c:pt idx="102">
                  <c:v>9.9996393180075334</c:v>
                </c:pt>
                <c:pt idx="103">
                  <c:v>9.999702293393538</c:v>
                </c:pt>
                <c:pt idx="104">
                  <c:v>9.9997581360835461</c:v>
                </c:pt>
                <c:pt idx="105">
                  <c:v>9.9998073249921742</c:v>
                </c:pt>
                <c:pt idx="106">
                  <c:v>9.9998503500601696</c:v>
                </c:pt>
                <c:pt idx="107">
                  <c:v>9.9998877029459745</c:v>
                </c:pt>
                <c:pt idx="108">
                  <c:v>9.9999198694002978</c:v>
                </c:pt>
                <c:pt idx="109">
                  <c:v>9.9999473231281719</c:v>
                </c:pt>
                <c:pt idx="110">
                  <c:v>9.9999705209567296</c:v>
                </c:pt>
                <c:pt idx="111">
                  <c:v>9.9999898991408696</c:v>
                </c:pt>
                <c:pt idx="112">
                  <c:v>10.000005870652895</c:v>
                </c:pt>
                <c:pt idx="113">
                  <c:v>10.000018823315811</c:v>
                </c:pt>
                <c:pt idx="114">
                  <c:v>10.000029118653186</c:v>
                </c:pt>
                <c:pt idx="115">
                  <c:v>10.000037091341138</c:v>
                </c:pt>
                <c:pt idx="116">
                  <c:v>10.000043049160102</c:v>
                </c:pt>
                <c:pt idx="117">
                  <c:v>10.000047273355326</c:v>
                </c:pt>
                <c:pt idx="118">
                  <c:v>10.000050019325746</c:v>
                </c:pt>
                <c:pt idx="119">
                  <c:v>10.000051517570707</c:v>
                </c:pt>
                <c:pt idx="120">
                  <c:v>10.000051974833124</c:v>
                </c:pt>
                <c:pt idx="121">
                  <c:v>10.000051575386042</c:v>
                </c:pt>
                <c:pt idx="122">
                  <c:v>10.000050482417134</c:v>
                </c:pt>
                <c:pt idx="123">
                  <c:v>10.000048839472575</c:v>
                </c:pt>
                <c:pt idx="124">
                  <c:v>10.000046771927948</c:v>
                </c:pt>
                <c:pt idx="125">
                  <c:v>10.000044388459306</c:v>
                </c:pt>
                <c:pt idx="126">
                  <c:v>10.000041782492543</c:v>
                </c:pt>
                <c:pt idx="127">
                  <c:v>10.000039033613451</c:v>
                </c:pt>
                <c:pt idx="128">
                  <c:v>10.000036208924765</c:v>
                </c:pt>
                <c:pt idx="129">
                  <c:v>10.000033364339714</c:v>
                </c:pt>
                <c:pt idx="130">
                  <c:v>10.000030545804506</c:v>
                </c:pt>
                <c:pt idx="131">
                  <c:v>10.000027790444634</c:v>
                </c:pt>
                <c:pt idx="132">
                  <c:v>10.000025127631915</c:v>
                </c:pt>
                <c:pt idx="133">
                  <c:v>10.00002257997096</c:v>
                </c:pt>
                <c:pt idx="134">
                  <c:v>10.000020164205202</c:v>
                </c:pt>
                <c:pt idx="135">
                  <c:v>10.000017892043765</c:v>
                </c:pt>
                <c:pt idx="136">
                  <c:v>10.000015770911412</c:v>
                </c:pt>
                <c:pt idx="137">
                  <c:v>10.000013804624544</c:v>
                </c:pt>
                <c:pt idx="138">
                  <c:v>10.000011993996768</c:v>
                </c:pt>
                <c:pt idx="139">
                  <c:v>10.000010337377967</c:v>
                </c:pt>
                <c:pt idx="140">
                  <c:v>10.000008831131041</c:v>
                </c:pt>
                <c:pt idx="141">
                  <c:v>10.000007470050694</c:v>
                </c:pt>
                <c:pt idx="142">
                  <c:v>10.000006247728681</c:v>
                </c:pt>
                <c:pt idx="143">
                  <c:v>10.000005156869882</c:v>
                </c:pt>
                <c:pt idx="144">
                  <c:v>10.000004189563548</c:v>
                </c:pt>
                <c:pt idx="145">
                  <c:v>10.000003337513926</c:v>
                </c:pt>
                <c:pt idx="146">
                  <c:v>10.000002592234269</c:v>
                </c:pt>
                <c:pt idx="147">
                  <c:v>10.00000194520808</c:v>
                </c:pt>
                <c:pt idx="148">
                  <c:v>10.000001388021184</c:v>
                </c:pt>
                <c:pt idx="149">
                  <c:v>10.000000912468074</c:v>
                </c:pt>
                <c:pt idx="150">
                  <c:v>10.000000510635596</c:v>
                </c:pt>
                <c:pt idx="151">
                  <c:v>10.000000174966948</c:v>
                </c:pt>
                <c:pt idx="152">
                  <c:v>9.9999998983086282</c:v>
                </c:pt>
                <c:pt idx="153">
                  <c:v>9.9999996739427726</c:v>
                </c:pt>
                <c:pt idx="154">
                  <c:v>9.9999994956070761</c:v>
                </c:pt>
                <c:pt idx="155">
                  <c:v>9.9999993575042811</c:v>
                </c:pt>
                <c:pt idx="156">
                  <c:v>9.9999992543030203</c:v>
                </c:pt>
                <c:pt idx="157">
                  <c:v>9.9999991811315674</c:v>
                </c:pt>
                <c:pt idx="158">
                  <c:v>9.999999133565904</c:v>
                </c:pt>
                <c:pt idx="159">
                  <c:v>9.9999991076133234</c:v>
                </c:pt>
                <c:pt idx="160">
                  <c:v>9.9999990996926318</c:v>
                </c:pt>
                <c:pt idx="161">
                  <c:v>9.9999991066118472</c:v>
                </c:pt>
                <c:pt idx="162">
                  <c:v>9.9999991255442406</c:v>
                </c:pt>
                <c:pt idx="163">
                  <c:v>9.9999991540033051</c:v>
                </c:pt>
                <c:pt idx="164">
                  <c:v>9.9999991898172862</c:v>
                </c:pt>
                <c:pt idx="165">
                  <c:v>9.9999992311036969</c:v>
                </c:pt>
                <c:pt idx="166">
                  <c:v>9.9999992762442194</c:v>
                </c:pt>
                <c:pt idx="167">
                  <c:v>9.9999993238602656</c:v>
                </c:pt>
                <c:pt idx="168">
                  <c:v>9.9999993727894871</c:v>
                </c:pt>
                <c:pt idx="169">
                  <c:v>9.9999994220633504</c:v>
                </c:pt>
                <c:pt idx="170">
                  <c:v>9.9999994708859798</c:v>
                </c:pt>
                <c:pt idx="171">
                  <c:v>9.9999995186142883</c:v>
                </c:pt>
                <c:pt idx="172">
                  <c:v>9.9999995647394933</c:v>
                </c:pt>
                <c:pt idx="173">
                  <c:v>9.9999996088700431</c:v>
                </c:pt>
                <c:pt idx="174">
                  <c:v>9.999999650715905</c:v>
                </c:pt>
                <c:pt idx="175">
                  <c:v>9.9999996900742563</c:v>
                </c:pt>
                <c:pt idx="176">
                  <c:v>9.9999997268164815</c:v>
                </c:pt>
                <c:pt idx="177">
                  <c:v>9.9999997608764772</c:v>
                </c:pt>
                <c:pt idx="178">
                  <c:v>9.999999792240148</c:v>
                </c:pt>
                <c:pt idx="179">
                  <c:v>9.9999998209360754</c:v>
                </c:pt>
                <c:pt idx="180">
                  <c:v>9.9999998470272651</c:v>
                </c:pt>
                <c:pt idx="181">
                  <c:v>9.9999998706038813</c:v>
                </c:pt>
                <c:pt idx="182">
                  <c:v>9.9999998917769268</c:v>
                </c:pt>
                <c:pt idx="183">
                  <c:v>9.9999999106727682</c:v>
                </c:pt>
                <c:pt idx="184">
                  <c:v>9.9999999274284352</c:v>
                </c:pt>
                <c:pt idx="185">
                  <c:v>9.9999999421876282</c:v>
                </c:pt>
                <c:pt idx="186">
                  <c:v>9.9999999550973531</c:v>
                </c:pt>
                <c:pt idx="187">
                  <c:v>9.9999999663051327</c:v>
                </c:pt>
                <c:pt idx="188">
                  <c:v>9.9999999759567153</c:v>
                </c:pt>
                <c:pt idx="189">
                  <c:v>9.9999999841942397</c:v>
                </c:pt>
                <c:pt idx="190">
                  <c:v>9.9999999911547768</c:v>
                </c:pt>
                <c:pt idx="191">
                  <c:v>9.9999999969692244</c:v>
                </c:pt>
                <c:pt idx="192">
                  <c:v>10.000000001761498</c:v>
                </c:pt>
                <c:pt idx="193">
                  <c:v>10.00000000564796</c:v>
                </c:pt>
                <c:pt idx="194">
                  <c:v>10.000000008737086</c:v>
                </c:pt>
                <c:pt idx="195">
                  <c:v>10.000000011129302</c:v>
                </c:pt>
                <c:pt idx="196">
                  <c:v>10.000000012916955</c:v>
                </c:pt>
                <c:pt idx="197">
                  <c:v>10.00000001418443</c:v>
                </c:pt>
                <c:pt idx="198">
                  <c:v>10.000000015008359</c:v>
                </c:pt>
                <c:pt idx="199">
                  <c:v>10.000000015457911</c:v>
                </c:pt>
                <c:pt idx="200">
                  <c:v>10.000000015595113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99C-4EB9-AA98-992E28CC95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33816162"/>
        <c:axId val="29118504"/>
      </c:lineChart>
      <c:catAx>
        <c:axId val="3381616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Time (s)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0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9118504"/>
        <c:crosses val="autoZero"/>
        <c:auto val="1"/>
        <c:lblAlgn val="ctr"/>
        <c:lblOffset val="100"/>
        <c:noMultiLvlLbl val="0"/>
      </c:catAx>
      <c:valAx>
        <c:axId val="2911850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Voltage (V)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381616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403860</xdr:colOff>
      <xdr:row>0</xdr:row>
      <xdr:rowOff>153300</xdr:rowOff>
    </xdr:from>
    <xdr:to>
      <xdr:col>10</xdr:col>
      <xdr:colOff>436980</xdr:colOff>
      <xdr:row>18</xdr:row>
      <xdr:rowOff>293160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22"/>
  <sheetViews>
    <sheetView tabSelected="1" zoomScaleNormal="100" workbookViewId="0">
      <selection activeCell="B11" sqref="B11"/>
    </sheetView>
  </sheetViews>
  <sheetFormatPr defaultColWidth="8.6640625" defaultRowHeight="14.4" x14ac:dyDescent="0.3"/>
  <cols>
    <col min="1" max="1" width="34" customWidth="1"/>
    <col min="2" max="4" width="30" customWidth="1"/>
  </cols>
  <sheetData>
    <row r="1" spans="1:2" ht="17.399999999999999" x14ac:dyDescent="0.3">
      <c r="A1" s="2" t="s">
        <v>0</v>
      </c>
    </row>
    <row r="2" spans="1:2" x14ac:dyDescent="0.3">
      <c r="A2" s="3" t="s">
        <v>1</v>
      </c>
    </row>
    <row r="4" spans="1:2" x14ac:dyDescent="0.3">
      <c r="A4" s="4" t="s">
        <v>2</v>
      </c>
    </row>
    <row r="5" spans="1:2" x14ac:dyDescent="0.3">
      <c r="A5" s="5" t="s">
        <v>3</v>
      </c>
      <c r="B5" s="6">
        <v>50</v>
      </c>
    </row>
    <row r="6" spans="1:2" x14ac:dyDescent="0.3">
      <c r="A6" s="5" t="s">
        <v>4</v>
      </c>
      <c r="B6" s="6">
        <v>0.1</v>
      </c>
    </row>
    <row r="7" spans="1:2" x14ac:dyDescent="0.3">
      <c r="A7" s="5" t="s">
        <v>5</v>
      </c>
      <c r="B7" s="6">
        <v>1E-4</v>
      </c>
    </row>
    <row r="8" spans="1:2" x14ac:dyDescent="0.3">
      <c r="A8" s="5" t="s">
        <v>6</v>
      </c>
      <c r="B8" s="6">
        <v>10</v>
      </c>
    </row>
    <row r="10" spans="1:2" x14ac:dyDescent="0.3">
      <c r="A10" s="4" t="s">
        <v>7</v>
      </c>
    </row>
    <row r="11" spans="1:2" x14ac:dyDescent="0.3">
      <c r="A11" s="5" t="s">
        <v>8</v>
      </c>
      <c r="B11" s="7">
        <f>$B$5/(2*$B$6)</f>
        <v>250</v>
      </c>
    </row>
    <row r="12" spans="1:2" x14ac:dyDescent="0.3">
      <c r="A12" s="5" t="s">
        <v>9</v>
      </c>
      <c r="B12" s="7">
        <f>1/SQRT($B$6*$B$7)</f>
        <v>316.2277660168379</v>
      </c>
    </row>
    <row r="13" spans="1:2" x14ac:dyDescent="0.3">
      <c r="A13" s="5" t="s">
        <v>10</v>
      </c>
      <c r="B13" s="7">
        <f>SQRT($B$12^2-$B$11^2)</f>
        <v>193.64916731037081</v>
      </c>
    </row>
    <row r="14" spans="1:2" x14ac:dyDescent="0.3">
      <c r="A14" s="5" t="s">
        <v>11</v>
      </c>
      <c r="B14" s="8">
        <f>2*PI()/$B$13</f>
        <v>3.24462294077889E-2</v>
      </c>
    </row>
    <row r="15" spans="1:2" x14ac:dyDescent="0.3">
      <c r="A15" s="5" t="s">
        <v>12</v>
      </c>
      <c r="B15" s="8">
        <f>2.5*$B$14</f>
        <v>8.1115573519472253E-2</v>
      </c>
    </row>
    <row r="16" spans="1:2" x14ac:dyDescent="0.3">
      <c r="A16" s="5" t="s">
        <v>13</v>
      </c>
      <c r="B16" s="6">
        <v>200</v>
      </c>
    </row>
    <row r="17" spans="1:4" x14ac:dyDescent="0.3">
      <c r="A17" s="5" t="s">
        <v>14</v>
      </c>
      <c r="B17" s="8">
        <f>$B$15/$B$16</f>
        <v>4.0557786759736126E-4</v>
      </c>
    </row>
    <row r="19" spans="1:4" ht="45" customHeight="1" x14ac:dyDescent="0.3">
      <c r="A19" s="1" t="s">
        <v>15</v>
      </c>
      <c r="B19" s="1"/>
      <c r="C19" s="1"/>
      <c r="D19" s="1"/>
    </row>
    <row r="21" spans="1:4" ht="30" customHeight="1" x14ac:dyDescent="0.3">
      <c r="A21" s="9" t="s">
        <v>16</v>
      </c>
      <c r="B21" s="9" t="s">
        <v>17</v>
      </c>
      <c r="C21" s="9" t="s">
        <v>18</v>
      </c>
      <c r="D21" s="9" t="s">
        <v>19</v>
      </c>
    </row>
    <row r="22" spans="1:4" x14ac:dyDescent="0.3">
      <c r="A22" s="8">
        <v>0</v>
      </c>
      <c r="B22" s="7">
        <f t="shared" ref="B22:B85" si="0">(($B$8/($B$6*$B$13))*EXP(-$B$11*A22)*SIN($B$13*A22))*$B$5</f>
        <v>0</v>
      </c>
      <c r="C22" s="7">
        <f t="shared" ref="C22:C85" si="1">$B$8-B22-D22</f>
        <v>10</v>
      </c>
      <c r="D22" s="7">
        <f t="shared" ref="D22:D85" si="2">$B$8*(1-EXP(-$B$11*A22)*(COS($B$13*A22)+($B$11/$B$13)*SIN($B$13*A22)))</f>
        <v>0</v>
      </c>
    </row>
    <row r="23" spans="1:4" x14ac:dyDescent="0.3">
      <c r="A23" s="8">
        <f t="shared" ref="A23:A54" si="3">A22+$B$17</f>
        <v>4.0557786759736126E-4</v>
      </c>
      <c r="B23" s="7">
        <f t="shared" si="0"/>
        <v>1.8304699826620701</v>
      </c>
      <c r="C23" s="7">
        <f t="shared" si="1"/>
        <v>8.0926760751735198</v>
      </c>
      <c r="D23" s="7">
        <f t="shared" si="2"/>
        <v>7.6853942164410993E-2</v>
      </c>
    </row>
    <row r="24" spans="1:4" x14ac:dyDescent="0.3">
      <c r="A24" s="8">
        <f t="shared" si="3"/>
        <v>8.1115573519472252E-4</v>
      </c>
      <c r="B24" s="7">
        <f t="shared" si="0"/>
        <v>3.297742162745211</v>
      </c>
      <c r="C24" s="7">
        <f t="shared" si="1"/>
        <v>6.4151157914715133</v>
      </c>
      <c r="D24" s="7">
        <f t="shared" si="2"/>
        <v>0.28714204578327629</v>
      </c>
    </row>
    <row r="25" spans="1:4" x14ac:dyDescent="0.3">
      <c r="A25" s="8">
        <f t="shared" si="3"/>
        <v>1.2167336027920838E-3</v>
      </c>
      <c r="B25" s="7">
        <f t="shared" si="0"/>
        <v>4.4466654033593382</v>
      </c>
      <c r="C25" s="7">
        <f t="shared" si="1"/>
        <v>4.9500886869323644</v>
      </c>
      <c r="D25" s="7">
        <f t="shared" si="2"/>
        <v>0.60324590970829761</v>
      </c>
    </row>
    <row r="26" spans="1:4" x14ac:dyDescent="0.3">
      <c r="A26" s="8">
        <f t="shared" si="3"/>
        <v>1.622311470389445E-3</v>
      </c>
      <c r="B26" s="7">
        <f t="shared" si="0"/>
        <v>5.3185899020803893</v>
      </c>
      <c r="C26" s="7">
        <f t="shared" si="1"/>
        <v>3.6803669269208177</v>
      </c>
      <c r="D26" s="7">
        <f t="shared" si="2"/>
        <v>1.0010431709987933</v>
      </c>
    </row>
    <row r="27" spans="1:4" x14ac:dyDescent="0.3">
      <c r="A27" s="8">
        <f t="shared" si="3"/>
        <v>2.0278893379868062E-3</v>
      </c>
      <c r="B27" s="7">
        <f t="shared" si="0"/>
        <v>5.9513945604983993</v>
      </c>
      <c r="C27" s="7">
        <f t="shared" si="1"/>
        <v>2.5889809711012872</v>
      </c>
      <c r="D27" s="7">
        <f t="shared" si="2"/>
        <v>1.4596244684003135</v>
      </c>
    </row>
    <row r="28" spans="1:4" x14ac:dyDescent="0.3">
      <c r="A28" s="8">
        <f t="shared" si="3"/>
        <v>2.4334672055841677E-3</v>
      </c>
      <c r="B28" s="7">
        <f t="shared" si="0"/>
        <v>6.3795609424918052</v>
      </c>
      <c r="C28" s="7">
        <f t="shared" si="1"/>
        <v>1.6594244724722653</v>
      </c>
      <c r="D28" s="7">
        <f t="shared" si="2"/>
        <v>1.9610145850359295</v>
      </c>
    </row>
    <row r="29" spans="1:4" x14ac:dyDescent="0.3">
      <c r="A29" s="8">
        <f t="shared" si="3"/>
        <v>2.8390450731815291E-3</v>
      </c>
      <c r="B29" s="7">
        <f t="shared" si="0"/>
        <v>6.6342841702564765</v>
      </c>
      <c r="C29" s="7">
        <f t="shared" si="1"/>
        <v>0.87581468038158938</v>
      </c>
      <c r="D29" s="7">
        <f t="shared" si="2"/>
        <v>2.4899011493619341</v>
      </c>
    </row>
    <row r="30" spans="1:4" x14ac:dyDescent="0.3">
      <c r="A30" s="8">
        <f t="shared" si="3"/>
        <v>3.2446229407788905E-3</v>
      </c>
      <c r="B30" s="7">
        <f t="shared" si="0"/>
        <v>6.7436123293454884</v>
      </c>
      <c r="C30" s="7">
        <f t="shared" si="1"/>
        <v>0.22301412981679647</v>
      </c>
      <c r="D30" s="7">
        <f t="shared" si="2"/>
        <v>3.0333735408377152</v>
      </c>
    </row>
    <row r="31" spans="1:4" x14ac:dyDescent="0.3">
      <c r="A31" s="8">
        <f t="shared" si="3"/>
        <v>3.6502008083762519E-3</v>
      </c>
      <c r="B31" s="7">
        <f t="shared" si="0"/>
        <v>6.7326070771855306</v>
      </c>
      <c r="C31" s="7">
        <f t="shared" si="1"/>
        <v>-0.31328108646366726</v>
      </c>
      <c r="D31" s="7">
        <f t="shared" si="2"/>
        <v>3.5806740092781366</v>
      </c>
    </row>
    <row r="32" spans="1:4" x14ac:dyDescent="0.3">
      <c r="A32" s="8">
        <f t="shared" si="3"/>
        <v>4.0557786759736134E-3</v>
      </c>
      <c r="B32" s="7">
        <f t="shared" si="0"/>
        <v>6.6235191752022082</v>
      </c>
      <c r="C32" s="7">
        <f t="shared" si="1"/>
        <v>-0.74648164171674214</v>
      </c>
      <c r="D32" s="7">
        <f t="shared" si="2"/>
        <v>4.1229624665145339</v>
      </c>
    </row>
    <row r="33" spans="1:4" x14ac:dyDescent="0.3">
      <c r="A33" s="8">
        <f t="shared" si="3"/>
        <v>4.4613565435709743E-3</v>
      </c>
      <c r="B33" s="7">
        <f t="shared" si="0"/>
        <v>6.4359735954635413</v>
      </c>
      <c r="C33" s="7">
        <f t="shared" si="1"/>
        <v>-1.0890695334395035</v>
      </c>
      <c r="D33" s="7">
        <f t="shared" si="2"/>
        <v>4.6530959379759622</v>
      </c>
    </row>
    <row r="34" spans="1:4" x14ac:dyDescent="0.3">
      <c r="A34" s="8">
        <f t="shared" si="3"/>
        <v>4.8669344111683353E-3</v>
      </c>
      <c r="B34" s="7">
        <f t="shared" si="0"/>
        <v>6.1871596922165182</v>
      </c>
      <c r="C34" s="7">
        <f t="shared" si="1"/>
        <v>-1.3525829547746913</v>
      </c>
      <c r="D34" s="7">
        <f t="shared" si="2"/>
        <v>5.1654232625581731</v>
      </c>
    </row>
    <row r="35" spans="1:4" x14ac:dyDescent="0.3">
      <c r="A35" s="8">
        <f t="shared" si="3"/>
        <v>5.2725122787656963E-3</v>
      </c>
      <c r="B35" s="7">
        <f t="shared" si="0"/>
        <v>5.8920226811242165</v>
      </c>
      <c r="C35" s="7">
        <f t="shared" si="1"/>
        <v>-1.5476179755608266</v>
      </c>
      <c r="D35" s="7">
        <f t="shared" si="2"/>
        <v>5.6555952944366101</v>
      </c>
    </row>
    <row r="36" spans="1:4" x14ac:dyDescent="0.3">
      <c r="A36" s="8">
        <f t="shared" si="3"/>
        <v>5.6780901463630573E-3</v>
      </c>
      <c r="B36" s="7">
        <f t="shared" si="0"/>
        <v>5.563453339198329</v>
      </c>
      <c r="C36" s="7">
        <f t="shared" si="1"/>
        <v>-1.6838439226314357</v>
      </c>
      <c r="D36" s="7">
        <f t="shared" si="2"/>
        <v>6.1203905834331067</v>
      </c>
    </row>
    <row r="37" spans="1:4" x14ac:dyDescent="0.3">
      <c r="A37" s="8">
        <f t="shared" si="3"/>
        <v>6.0836680139604183E-3</v>
      </c>
      <c r="B37" s="7">
        <f t="shared" si="0"/>
        <v>5.2124734314953365</v>
      </c>
      <c r="C37" s="7">
        <f t="shared" si="1"/>
        <v>-1.7700297161943199</v>
      </c>
      <c r="D37" s="7">
        <f t="shared" si="2"/>
        <v>6.5575562846989834</v>
      </c>
    </row>
    <row r="38" spans="1:4" x14ac:dyDescent="0.3">
      <c r="A38" s="8">
        <f t="shared" si="3"/>
        <v>6.4892458815577793E-3</v>
      </c>
      <c r="B38" s="7">
        <f t="shared" si="0"/>
        <v>4.8484148919402124</v>
      </c>
      <c r="C38" s="7">
        <f t="shared" si="1"/>
        <v>-1.8140787597302257</v>
      </c>
      <c r="D38" s="7">
        <f t="shared" si="2"/>
        <v>6.9656638677900133</v>
      </c>
    </row>
    <row r="39" spans="1:4" x14ac:dyDescent="0.3">
      <c r="A39" s="8">
        <f t="shared" si="3"/>
        <v>6.8948237491551403E-3</v>
      </c>
      <c r="B39" s="7">
        <f t="shared" si="0"/>
        <v>4.4790912405836867</v>
      </c>
      <c r="C39" s="7">
        <f t="shared" si="1"/>
        <v>-1.8230702946624566</v>
      </c>
      <c r="D39" s="7">
        <f t="shared" si="2"/>
        <v>7.3439790540787699</v>
      </c>
    </row>
    <row r="40" spans="1:4" x14ac:dyDescent="0.3">
      <c r="A40" s="8">
        <f t="shared" si="3"/>
        <v>7.3004016167525013E-3</v>
      </c>
      <c r="B40" s="7">
        <f t="shared" si="0"/>
        <v>4.1109601136021405</v>
      </c>
      <c r="C40" s="7">
        <f t="shared" si="1"/>
        <v>-1.8033054183171622</v>
      </c>
      <c r="D40" s="7">
        <f t="shared" si="2"/>
        <v>7.6923453047150216</v>
      </c>
    </row>
    <row r="41" spans="1:4" x14ac:dyDescent="0.3">
      <c r="A41" s="8">
        <f t="shared" si="3"/>
        <v>7.7059794843498623E-3</v>
      </c>
      <c r="B41" s="7">
        <f t="shared" si="0"/>
        <v>3.7492761207408987</v>
      </c>
      <c r="C41" s="7">
        <f t="shared" si="1"/>
        <v>-1.7603562250193967</v>
      </c>
      <c r="D41" s="7">
        <f t="shared" si="2"/>
        <v>8.0110801042784985</v>
      </c>
    </row>
    <row r="42" spans="1:4" x14ac:dyDescent="0.3">
      <c r="A42" s="8">
        <f t="shared" si="3"/>
        <v>8.1115573519472232E-3</v>
      </c>
      <c r="B42" s="7">
        <f t="shared" si="0"/>
        <v>3.398233532857684</v>
      </c>
      <c r="C42" s="7">
        <f t="shared" si="1"/>
        <v>-1.6991167664288422</v>
      </c>
      <c r="D42" s="7">
        <f t="shared" si="2"/>
        <v>8.3008832335711578</v>
      </c>
    </row>
    <row r="43" spans="1:4" x14ac:dyDescent="0.3">
      <c r="A43" s="8">
        <f t="shared" si="3"/>
        <v>8.5171352195445842E-3</v>
      </c>
      <c r="B43" s="7">
        <f t="shared" si="0"/>
        <v>3.0610985447195596</v>
      </c>
      <c r="C43" s="7">
        <f t="shared" si="1"/>
        <v>-1.6238547394993539</v>
      </c>
      <c r="D43" s="7">
        <f t="shared" si="2"/>
        <v>8.5627561947797943</v>
      </c>
    </row>
    <row r="44" spans="1:4" x14ac:dyDescent="0.3">
      <c r="A44" s="8">
        <f t="shared" si="3"/>
        <v>8.9227130871419452E-3</v>
      </c>
      <c r="B44" s="7">
        <f t="shared" si="0"/>
        <v>2.7403310599823052</v>
      </c>
      <c r="C44" s="7">
        <f t="shared" si="1"/>
        <v>-1.5382629999935418</v>
      </c>
      <c r="D44" s="7">
        <f t="shared" si="2"/>
        <v>8.797931940011237</v>
      </c>
    </row>
    <row r="45" spans="1:4" x14ac:dyDescent="0.3">
      <c r="A45" s="8">
        <f t="shared" si="3"/>
        <v>9.3282909547393062E-3</v>
      </c>
      <c r="B45" s="7">
        <f t="shared" si="0"/>
        <v>2.4376961108099957</v>
      </c>
      <c r="C45" s="7">
        <f t="shared" si="1"/>
        <v>-1.4455101676514053</v>
      </c>
      <c r="D45" s="7">
        <f t="shared" si="2"/>
        <v>9.0078140568414096</v>
      </c>
    </row>
    <row r="46" spans="1:4" x14ac:dyDescent="0.3">
      <c r="A46" s="8">
        <f t="shared" si="3"/>
        <v>9.7338688223366672E-3</v>
      </c>
      <c r="B46" s="7">
        <f t="shared" si="0"/>
        <v>2.1543651580666636</v>
      </c>
      <c r="C46" s="7">
        <f t="shared" si="1"/>
        <v>-1.3482897373248495</v>
      </c>
      <c r="D46" s="7">
        <f t="shared" si="2"/>
        <v>9.1939245792581854</v>
      </c>
    </row>
    <row r="47" spans="1:4" x14ac:dyDescent="0.3">
      <c r="A47" s="8">
        <f t="shared" si="3"/>
        <v>1.0139446689934028E-2</v>
      </c>
      <c r="B47" s="7">
        <f t="shared" si="0"/>
        <v>1.8910076233303101</v>
      </c>
      <c r="C47" s="7">
        <f t="shared" si="1"/>
        <v>-1.248867240106442</v>
      </c>
      <c r="D47" s="7">
        <f t="shared" si="2"/>
        <v>9.3578596167761319</v>
      </c>
    </row>
    <row r="48" spans="1:4" x14ac:dyDescent="0.3">
      <c r="A48" s="8">
        <f t="shared" si="3"/>
        <v>1.0545024557531389E-2</v>
      </c>
      <c r="B48" s="7">
        <f t="shared" si="0"/>
        <v>1.6478730847442342</v>
      </c>
      <c r="C48" s="7">
        <f t="shared" si="1"/>
        <v>-1.1491251111673879</v>
      </c>
      <c r="D48" s="7">
        <f t="shared" si="2"/>
        <v>9.5012520264231544</v>
      </c>
    </row>
    <row r="49" spans="1:4" x14ac:dyDescent="0.3">
      <c r="A49" s="8">
        <f t="shared" si="3"/>
        <v>1.095060242512875E-2</v>
      </c>
      <c r="B49" s="7">
        <f t="shared" si="0"/>
        <v>1.4248646282378001</v>
      </c>
      <c r="C49" s="7">
        <f t="shared" si="1"/>
        <v>-1.050605018126987</v>
      </c>
      <c r="D49" s="7">
        <f t="shared" si="2"/>
        <v>9.6257403898891862</v>
      </c>
    </row>
    <row r="50" spans="1:4" x14ac:dyDescent="0.3">
      <c r="A50" s="8">
        <f t="shared" si="3"/>
        <v>1.1356180292726111E-2</v>
      </c>
      <c r="B50" s="7">
        <f t="shared" si="0"/>
        <v>1.2216038869331709</v>
      </c>
      <c r="C50" s="7">
        <f t="shared" si="1"/>
        <v>-0.95454748671919987</v>
      </c>
      <c r="D50" s="7">
        <f t="shared" si="2"/>
        <v>9.7329435997860294</v>
      </c>
    </row>
    <row r="51" spans="1:4" x14ac:dyDescent="0.3">
      <c r="A51" s="8">
        <f t="shared" si="3"/>
        <v>1.1761758160323472E-2</v>
      </c>
      <c r="B51" s="7">
        <f t="shared" si="0"/>
        <v>1.0374883273392512</v>
      </c>
      <c r="C51" s="7">
        <f t="shared" si="1"/>
        <v>-0.86192873066832654</v>
      </c>
      <c r="D51" s="7">
        <f t="shared" si="2"/>
        <v>9.824440403329076</v>
      </c>
    </row>
    <row r="52" spans="1:4" x14ac:dyDescent="0.3">
      <c r="A52" s="8">
        <f t="shared" si="3"/>
        <v>1.2167336027920833E-2</v>
      </c>
      <c r="B52" s="7">
        <f t="shared" si="0"/>
        <v>0.87174135368045391</v>
      </c>
      <c r="C52" s="7">
        <f t="shared" si="1"/>
        <v>-0.77349465134069639</v>
      </c>
      <c r="D52" s="7">
        <f t="shared" si="2"/>
        <v>9.9017532976602425</v>
      </c>
    </row>
    <row r="53" spans="1:4" x14ac:dyDescent="0.3">
      <c r="A53" s="8">
        <f t="shared" si="3"/>
        <v>1.2572913895518194E-2</v>
      </c>
      <c r="B53" s="7">
        <f t="shared" si="0"/>
        <v>0.72345580361976447</v>
      </c>
      <c r="C53" s="7">
        <f t="shared" si="1"/>
        <v>-0.68979202114024396</v>
      </c>
      <c r="D53" s="7">
        <f t="shared" si="2"/>
        <v>9.9663362175204799</v>
      </c>
    </row>
    <row r="54" spans="1:4" x14ac:dyDescent="0.3">
      <c r="A54" s="8">
        <f t="shared" si="3"/>
        <v>1.2978491763115555E-2</v>
      </c>
      <c r="B54" s="7">
        <f t="shared" si="0"/>
        <v>0.59163140167307271</v>
      </c>
      <c r="C54" s="7">
        <f t="shared" si="1"/>
        <v>-0.61119690392506953</v>
      </c>
      <c r="D54" s="7">
        <f t="shared" si="2"/>
        <v>10.019565502251996</v>
      </c>
    </row>
    <row r="55" spans="1:4" x14ac:dyDescent="0.3">
      <c r="A55" s="8">
        <f t="shared" ref="A55:A86" si="4">A54+$B$17</f>
        <v>1.3384069630712916E-2</v>
      </c>
      <c r="B55" s="7">
        <f t="shared" si="0"/>
        <v>0.47520672250730589</v>
      </c>
      <c r="C55" s="7">
        <f t="shared" si="1"/>
        <v>-0.53794039702396645</v>
      </c>
      <c r="D55" s="7">
        <f t="shared" si="2"/>
        <v>10.062733674516661</v>
      </c>
    </row>
    <row r="56" spans="1:4" x14ac:dyDescent="0.3">
      <c r="A56" s="8">
        <f t="shared" si="4"/>
        <v>1.3789647498310277E-2</v>
      </c>
      <c r="B56" s="7">
        <f t="shared" si="0"/>
        <v>0.37308619658916536</v>
      </c>
      <c r="C56" s="7">
        <f t="shared" si="1"/>
        <v>-0.47013180373087593</v>
      </c>
      <c r="D56" s="7">
        <f t="shared" si="2"/>
        <v>10.097045607141711</v>
      </c>
    </row>
    <row r="57" spans="1:4" x14ac:dyDescent="0.3">
      <c r="A57" s="8">
        <f t="shared" si="4"/>
        <v>1.4195225365907638E-2</v>
      </c>
      <c r="B57" s="7">
        <f t="shared" si="0"/>
        <v>0.28416266662925083</v>
      </c>
      <c r="C57" s="7">
        <f t="shared" si="1"/>
        <v>-0.40777936337518383</v>
      </c>
      <c r="D57" s="7">
        <f t="shared" si="2"/>
        <v>10.123616696745932</v>
      </c>
    </row>
    <row r="58" spans="1:4" x14ac:dyDescent="0.3">
      <c r="A58" s="8">
        <f t="shared" si="4"/>
        <v>1.4600803233504999E-2</v>
      </c>
      <c r="B58" s="7">
        <f t="shared" si="0"/>
        <v>0.20733597609387763</v>
      </c>
      <c r="C58" s="7">
        <f t="shared" si="1"/>
        <v>-0.35080867905190516</v>
      </c>
      <c r="D58" s="7">
        <f t="shared" si="2"/>
        <v>10.143472702958027</v>
      </c>
    </row>
    <row r="59" spans="1:4" x14ac:dyDescent="0.3">
      <c r="A59" s="8">
        <f t="shared" si="4"/>
        <v>1.500638110110236E-2</v>
      </c>
      <c r="B59" s="7">
        <f t="shared" si="0"/>
        <v>0.14152804171616129</v>
      </c>
      <c r="C59" s="7">
        <f t="shared" si="1"/>
        <v>-0.29907899161528917</v>
      </c>
      <c r="D59" s="7">
        <f t="shared" si="2"/>
        <v>10.157550949899129</v>
      </c>
    </row>
    <row r="60" spans="1:4" x14ac:dyDescent="0.3">
      <c r="A60" s="8">
        <f t="shared" si="4"/>
        <v>1.5411958968699721E-2</v>
      </c>
      <c r="B60" s="7">
        <f t="shared" si="0"/>
        <v>8.5694831263228757E-2</v>
      </c>
      <c r="C60" s="7">
        <f t="shared" si="1"/>
        <v>-0.25239745328586238</v>
      </c>
      <c r="D60" s="7">
        <f t="shared" si="2"/>
        <v>10.166702622022633</v>
      </c>
    </row>
    <row r="61" spans="1:4" x14ac:dyDescent="0.3">
      <c r="A61" s="8">
        <f t="shared" si="4"/>
        <v>1.5817536836297084E-2</v>
      </c>
      <c r="B61" s="7">
        <f t="shared" si="0"/>
        <v>3.8835636508646812E-2</v>
      </c>
      <c r="C61" s="7">
        <f t="shared" si="1"/>
        <v>-0.21053155581599015</v>
      </c>
      <c r="D61" s="7">
        <f t="shared" si="2"/>
        <v>10.171695919307343</v>
      </c>
    </row>
    <row r="62" spans="1:4" x14ac:dyDescent="0.3">
      <c r="A62" s="8">
        <f t="shared" si="4"/>
        <v>1.6223114703894446E-2</v>
      </c>
      <c r="B62" s="7">
        <f t="shared" si="0"/>
        <v>2.5341466880617637E-16</v>
      </c>
      <c r="C62" s="7">
        <f t="shared" si="1"/>
        <v>-0.17321986715757731</v>
      </c>
      <c r="D62" s="7">
        <f t="shared" si="2"/>
        <v>10.173219867157577</v>
      </c>
    </row>
    <row r="63" spans="1:4" x14ac:dyDescent="0.3">
      <c r="A63" s="8">
        <f t="shared" si="4"/>
        <v>1.6628692571491809E-2</v>
      </c>
      <c r="B63" s="7">
        <f t="shared" si="0"/>
        <v>-3.1707376723265221E-2</v>
      </c>
      <c r="C63" s="7">
        <f t="shared" si="1"/>
        <v>-0.14018122746908546</v>
      </c>
      <c r="D63" s="7">
        <f t="shared" si="2"/>
        <v>10.17188860419235</v>
      </c>
    </row>
    <row r="64" spans="1:4" x14ac:dyDescent="0.3">
      <c r="A64" s="8">
        <f t="shared" si="4"/>
        <v>1.7034270439089172E-2</v>
      </c>
      <c r="B64" s="7">
        <f t="shared" si="0"/>
        <v>-5.7123445935066235E-2</v>
      </c>
      <c r="C64" s="7">
        <f t="shared" si="1"/>
        <v>-0.1111225505199176</v>
      </c>
      <c r="D64" s="7">
        <f t="shared" si="2"/>
        <v>10.168245996454983</v>
      </c>
    </row>
    <row r="65" spans="1:4" x14ac:dyDescent="0.3">
      <c r="A65" s="8">
        <f t="shared" si="4"/>
        <v>1.7439848306686535E-2</v>
      </c>
      <c r="B65" s="7">
        <f t="shared" si="0"/>
        <v>-7.7025079046409456E-2</v>
      </c>
      <c r="C65" s="7">
        <f t="shared" si="1"/>
        <v>-8.5745370476862703E-2</v>
      </c>
      <c r="D65" s="7">
        <f t="shared" si="2"/>
        <v>10.162770449523272</v>
      </c>
    </row>
    <row r="66" spans="1:4" x14ac:dyDescent="0.3">
      <c r="A66" s="8">
        <f t="shared" si="4"/>
        <v>1.7845426174283897E-2</v>
      </c>
      <c r="B66" s="7">
        <f t="shared" si="0"/>
        <v>-9.2128543630399101E-2</v>
      </c>
      <c r="C66" s="7">
        <f t="shared" si="1"/>
        <v>-6.3751267017236657E-2</v>
      </c>
      <c r="D66" s="7">
        <f t="shared" si="2"/>
        <v>10.155879810647635</v>
      </c>
    </row>
    <row r="67" spans="1:4" x14ac:dyDescent="0.3">
      <c r="A67" s="8">
        <f t="shared" si="4"/>
        <v>1.825100404188126E-2</v>
      </c>
      <c r="B67" s="7">
        <f t="shared" si="0"/>
        <v>-0.10308997751718543</v>
      </c>
      <c r="C67" s="7">
        <f t="shared" si="1"/>
        <v>-4.4846293988765495E-2</v>
      </c>
      <c r="D67" s="7">
        <f t="shared" si="2"/>
        <v>10.147936271505952</v>
      </c>
    </row>
    <row r="68" spans="1:4" x14ac:dyDescent="0.3">
      <c r="A68" s="8">
        <f t="shared" si="4"/>
        <v>1.8656581909478623E-2</v>
      </c>
      <c r="B68" s="7">
        <f t="shared" si="0"/>
        <v>-0.11050666989820927</v>
      </c>
      <c r="C68" s="7">
        <f t="shared" si="1"/>
        <v>-2.8744528667967728E-2</v>
      </c>
      <c r="D68" s="7">
        <f t="shared" si="2"/>
        <v>10.139251198566177</v>
      </c>
    </row>
    <row r="69" spans="1:4" x14ac:dyDescent="0.3">
      <c r="A69" s="8">
        <f t="shared" si="4"/>
        <v>1.9062159777075986E-2</v>
      </c>
      <c r="B69" s="7">
        <f t="shared" si="0"/>
        <v>-0.11491898226574367</v>
      </c>
      <c r="C69" s="7">
        <f t="shared" si="1"/>
        <v>-1.5170850259034196E-2</v>
      </c>
      <c r="D69" s="7">
        <f t="shared" si="2"/>
        <v>10.130089832524778</v>
      </c>
    </row>
    <row r="70" spans="1:4" x14ac:dyDescent="0.3">
      <c r="A70" s="8">
        <f t="shared" si="4"/>
        <v>1.9467737644673348E-2</v>
      </c>
      <c r="B70" s="7">
        <f t="shared" si="0"/>
        <v>-0.11681276318514176</v>
      </c>
      <c r="C70" s="7">
        <f t="shared" si="1"/>
        <v>-3.8630477941126173E-3</v>
      </c>
      <c r="D70" s="7">
        <f t="shared" si="2"/>
        <v>10.120675810979254</v>
      </c>
    </row>
    <row r="71" spans="1:4" x14ac:dyDescent="0.3">
      <c r="A71" s="8">
        <f t="shared" si="4"/>
        <v>1.9873315512270711E-2</v>
      </c>
      <c r="B71" s="7">
        <f t="shared" si="0"/>
        <v>-0.11662213035342338</v>
      </c>
      <c r="C71" s="7">
        <f t="shared" si="1"/>
        <v>5.4266508180216277E-3</v>
      </c>
      <c r="D71" s="7">
        <f t="shared" si="2"/>
        <v>10.111195479535402</v>
      </c>
    </row>
    <row r="72" spans="1:4" x14ac:dyDescent="0.3">
      <c r="A72" s="8">
        <f t="shared" si="4"/>
        <v>2.0278893379868074E-2</v>
      </c>
      <c r="B72" s="7">
        <f t="shared" si="0"/>
        <v>-0.11473251116441834</v>
      </c>
      <c r="C72" s="7">
        <f t="shared" si="1"/>
        <v>1.2930545081372813E-2</v>
      </c>
      <c r="D72" s="7">
        <f t="shared" si="2"/>
        <v>10.101801966083045</v>
      </c>
    </row>
    <row r="73" spans="1:4" x14ac:dyDescent="0.3">
      <c r="A73" s="8">
        <f t="shared" si="4"/>
        <v>2.0684471247465436E-2</v>
      </c>
      <c r="B73" s="7">
        <f t="shared" si="0"/>
        <v>-0.11148384912358603</v>
      </c>
      <c r="C73" s="7">
        <f t="shared" si="1"/>
        <v>1.8864847990775147E-2</v>
      </c>
      <c r="D73" s="7">
        <f t="shared" si="2"/>
        <v>10.09261900113281</v>
      </c>
    </row>
    <row r="74" spans="1:4" x14ac:dyDescent="0.3">
      <c r="A74" s="8">
        <f t="shared" si="4"/>
        <v>2.1090049115062799E-2</v>
      </c>
      <c r="B74" s="7">
        <f t="shared" si="0"/>
        <v>-0.10717389799684521</v>
      </c>
      <c r="C74" s="7">
        <f t="shared" si="1"/>
        <v>2.3429423974565822E-2</v>
      </c>
      <c r="D74" s="7">
        <f t="shared" si="2"/>
        <v>10.083744474022279</v>
      </c>
    </row>
    <row r="75" spans="1:4" x14ac:dyDescent="0.3">
      <c r="A75" s="8">
        <f t="shared" si="4"/>
        <v>2.1495626982660162E-2</v>
      </c>
      <c r="B75" s="7">
        <f t="shared" si="0"/>
        <v>-0.10206153861137592</v>
      </c>
      <c r="C75" s="7">
        <f t="shared" si="1"/>
        <v>2.6807818013732998E-2</v>
      </c>
      <c r="D75" s="7">
        <f t="shared" si="2"/>
        <v>10.075253720597644</v>
      </c>
    </row>
    <row r="76" spans="1:4" x14ac:dyDescent="0.3">
      <c r="A76" s="8">
        <f t="shared" si="4"/>
        <v>2.1901204850257525E-2</v>
      </c>
      <c r="B76" s="7">
        <f t="shared" si="0"/>
        <v>-9.6370064835330518E-2</v>
      </c>
      <c r="C76" s="7">
        <f t="shared" si="1"/>
        <v>2.9167522059230677E-2</v>
      </c>
      <c r="D76" s="7">
        <f t="shared" si="2"/>
        <v>10.0672025427761</v>
      </c>
    </row>
    <row r="77" spans="1:4" x14ac:dyDescent="0.3">
      <c r="A77" s="8">
        <f t="shared" si="4"/>
        <v>2.2306782717854887E-2</v>
      </c>
      <c r="B77" s="7">
        <f t="shared" si="0"/>
        <v>-9.0290395536601384E-2</v>
      </c>
      <c r="C77" s="7">
        <f t="shared" si="1"/>
        <v>3.0660431230415952E-2</v>
      </c>
      <c r="D77" s="7">
        <f t="shared" si="2"/>
        <v>10.059629964306186</v>
      </c>
    </row>
    <row r="78" spans="1:4" x14ac:dyDescent="0.3">
      <c r="A78" s="8">
        <f t="shared" si="4"/>
        <v>2.271236058545225E-2</v>
      </c>
      <c r="B78" s="7">
        <f t="shared" si="0"/>
        <v>-8.3984178350669417E-2</v>
      </c>
      <c r="C78" s="7">
        <f t="shared" si="1"/>
        <v>3.1423448177386959E-2</v>
      </c>
      <c r="D78" s="7">
        <f t="shared" si="2"/>
        <v>10.052560730173283</v>
      </c>
    </row>
    <row r="79" spans="1:4" x14ac:dyDescent="0.3">
      <c r="A79" s="8">
        <f t="shared" si="4"/>
        <v>2.3117938453049613E-2</v>
      </c>
      <c r="B79" s="7">
        <f t="shared" si="0"/>
        <v>-7.758675896805646E-2</v>
      </c>
      <c r="C79" s="7">
        <f t="shared" si="1"/>
        <v>3.1579199426035487E-2</v>
      </c>
      <c r="D79" s="7">
        <f t="shared" si="2"/>
        <v>10.046007559542021</v>
      </c>
    </row>
    <row r="80" spans="1:4" x14ac:dyDescent="0.3">
      <c r="A80" s="8">
        <f t="shared" si="4"/>
        <v>2.3523516320646976E-2</v>
      </c>
      <c r="B80" s="7">
        <f t="shared" si="0"/>
        <v>-7.1209996476825244E-2</v>
      </c>
      <c r="C80" s="7">
        <f t="shared" si="1"/>
        <v>3.1236832500544764E-2</v>
      </c>
      <c r="D80" s="7">
        <f t="shared" si="2"/>
        <v>10.039973163976281</v>
      </c>
    </row>
    <row r="81" spans="1:4" x14ac:dyDescent="0.3">
      <c r="A81" s="8">
        <f t="shared" si="4"/>
        <v>2.3929094188244338E-2</v>
      </c>
      <c r="B81" s="7">
        <f t="shared" si="0"/>
        <v>-6.4944911157180651E-2</v>
      </c>
      <c r="C81" s="7">
        <f t="shared" si="1"/>
        <v>3.0492867144786828E-2</v>
      </c>
      <c r="D81" s="7">
        <f t="shared" si="2"/>
        <v>10.034452044012394</v>
      </c>
    </row>
    <row r="82" spans="1:4" x14ac:dyDescent="0.3">
      <c r="A82" s="8">
        <f t="shared" si="4"/>
        <v>2.4334672055841701E-2</v>
      </c>
      <c r="B82" s="7">
        <f t="shared" si="0"/>
        <v>-5.8864156113202427E-2</v>
      </c>
      <c r="C82" s="7">
        <f t="shared" si="1"/>
        <v>2.9432078056601085E-2</v>
      </c>
      <c r="D82" s="7">
        <f t="shared" si="2"/>
        <v>10.029432078056601</v>
      </c>
    </row>
    <row r="83" spans="1:4" x14ac:dyDescent="0.3">
      <c r="A83" s="8">
        <f t="shared" si="4"/>
        <v>2.4740249923439064E-2</v>
      </c>
      <c r="B83" s="7">
        <f t="shared" si="0"/>
        <v>-5.3024308327256749E-2</v>
      </c>
      <c r="C83" s="7">
        <f t="shared" si="1"/>
        <v>2.8128390225926836E-2</v>
      </c>
      <c r="D83" s="7">
        <f t="shared" si="2"/>
        <v>10.024895918101329</v>
      </c>
    </row>
    <row r="84" spans="1:4" x14ac:dyDescent="0.3">
      <c r="A84" s="8">
        <f t="shared" si="4"/>
        <v>2.5145827791036426E-2</v>
      </c>
      <c r="B84" s="7">
        <f t="shared" si="0"/>
        <v>-4.7467978217791015E-2</v>
      </c>
      <c r="C84" s="7">
        <f t="shared" si="1"/>
        <v>2.6645771251228467E-2</v>
      </c>
      <c r="D84" s="7">
        <f t="shared" si="2"/>
        <v>10.020822206966562</v>
      </c>
    </row>
    <row r="85" spans="1:4" x14ac:dyDescent="0.3">
      <c r="A85" s="8">
        <f t="shared" si="4"/>
        <v>2.5551405658633789E-2</v>
      </c>
      <c r="B85" s="7">
        <f t="shared" si="0"/>
        <v>-4.2225739648504297E-2</v>
      </c>
      <c r="C85" s="7">
        <f t="shared" si="1"/>
        <v>2.503910792154862E-2</v>
      </c>
      <c r="D85" s="7">
        <f t="shared" si="2"/>
        <v>10.017186631726956</v>
      </c>
    </row>
    <row r="86" spans="1:4" x14ac:dyDescent="0.3">
      <c r="A86" s="8">
        <f t="shared" si="4"/>
        <v>2.5956983526231152E-2</v>
      </c>
      <c r="B86" s="7">
        <f t="shared" ref="B86:B149" si="5">(($B$8/($B$6*$B$13))*EXP(-$B$11*A86)*SIN($B$13*A86))*$B$5</f>
        <v>-3.7317884648921371E-2</v>
      </c>
      <c r="C86" s="7">
        <f t="shared" ref="C86:C149" si="6">$B$8-B86-D86</f>
        <v>2.3355056918934025E-2</v>
      </c>
      <c r="D86" s="7">
        <f t="shared" ref="D86:D149" si="7">$B$8*(1-EXP(-$B$11*A86)*(COS($B$13*A86)+($B$11/$B$13)*SIN($B$13*A86)))</f>
        <v>10.013962827729987</v>
      </c>
    </row>
    <row r="87" spans="1:4" x14ac:dyDescent="0.3">
      <c r="A87" s="8">
        <f t="shared" ref="A87:A118" si="8">A86+$B$17</f>
        <v>2.6362561393828515E-2</v>
      </c>
      <c r="B87" s="7">
        <f t="shared" si="5"/>
        <v>-3.2756008930723592E-2</v>
      </c>
      <c r="C87" s="7">
        <f t="shared" si="6"/>
        <v>2.163286174286938E-2</v>
      </c>
      <c r="D87" s="7">
        <f t="shared" si="7"/>
        <v>10.011123147187854</v>
      </c>
    </row>
    <row r="88" spans="1:4" x14ac:dyDescent="0.3">
      <c r="A88" s="8">
        <f t="shared" si="8"/>
        <v>2.6768139261425877E-2</v>
      </c>
      <c r="B88" s="7">
        <f t="shared" si="5"/>
        <v>-2.8544435683193752E-2</v>
      </c>
      <c r="C88" s="7">
        <f t="shared" si="6"/>
        <v>1.9905129910386066E-2</v>
      </c>
      <c r="D88" s="7">
        <f t="shared" si="7"/>
        <v>10.008639305772808</v>
      </c>
    </row>
    <row r="89" spans="1:4" x14ac:dyDescent="0.3">
      <c r="A89" s="8">
        <f t="shared" si="8"/>
        <v>2.717371712902324E-2</v>
      </c>
      <c r="B89" s="7">
        <f t="shared" si="5"/>
        <v>-2.468148616208769E-2</v>
      </c>
      <c r="C89" s="7">
        <f t="shared" si="6"/>
        <v>1.8198566167503927E-2</v>
      </c>
      <c r="D89" s="7">
        <f t="shared" si="7"/>
        <v>10.006482919994584</v>
      </c>
    </row>
    <row r="90" spans="1:4" x14ac:dyDescent="0.3">
      <c r="A90" s="8">
        <f t="shared" si="8"/>
        <v>2.7579294996620603E-2</v>
      </c>
      <c r="B90" s="7">
        <f t="shared" si="5"/>
        <v>-2.1160606301373897E-2</v>
      </c>
      <c r="C90" s="7">
        <f t="shared" si="6"/>
        <v>1.6534658884507891E-2</v>
      </c>
      <c r="D90" s="7">
        <f t="shared" si="7"/>
        <v>10.004625947416866</v>
      </c>
    </row>
    <row r="91" spans="1:4" x14ac:dyDescent="0.3">
      <c r="A91" s="8">
        <f t="shared" si="8"/>
        <v>2.7984872864217965E-2</v>
      </c>
      <c r="B91" s="7">
        <f t="shared" si="5"/>
        <v>-1.7971359023923762E-2</v>
      </c>
      <c r="C91" s="7">
        <f t="shared" si="6"/>
        <v>1.4930318022567945E-2</v>
      </c>
      <c r="D91" s="7">
        <f t="shared" si="7"/>
        <v>10.003041041001357</v>
      </c>
    </row>
    <row r="92" spans="1:4" x14ac:dyDescent="0.3">
      <c r="A92" s="8">
        <f t="shared" si="8"/>
        <v>2.8390450731815328E-2</v>
      </c>
      <c r="B92" s="7">
        <f t="shared" si="5"/>
        <v>-1.5100292148029069E-2</v>
      </c>
      <c r="C92" s="7">
        <f t="shared" si="6"/>
        <v>1.3398464075233818E-2</v>
      </c>
      <c r="D92" s="7">
        <f t="shared" si="7"/>
        <v>10.001701828072795</v>
      </c>
    </row>
    <row r="93" spans="1:4" x14ac:dyDescent="0.3">
      <c r="A93" s="8">
        <f t="shared" si="8"/>
        <v>2.8796028599412691E-2</v>
      </c>
      <c r="B93" s="7">
        <f t="shared" si="5"/>
        <v>-1.2531691819739024E-2</v>
      </c>
      <c r="C93" s="7">
        <f t="shared" si="6"/>
        <v>1.1948568226825884E-2</v>
      </c>
      <c r="D93" s="7">
        <f t="shared" si="7"/>
        <v>10.000583123592913</v>
      </c>
    </row>
    <row r="94" spans="1:4" x14ac:dyDescent="0.3">
      <c r="A94" s="8">
        <f t="shared" si="8"/>
        <v>2.9201606467010054E-2</v>
      </c>
      <c r="B94" s="7">
        <f t="shared" si="5"/>
        <v>-1.0248231280405759E-2</v>
      </c>
      <c r="C94" s="7">
        <f t="shared" si="6"/>
        <v>1.0587144650500591E-2</v>
      </c>
      <c r="D94" s="7">
        <f t="shared" si="7"/>
        <v>9.9996610866299047</v>
      </c>
    </row>
    <row r="95" spans="1:4" x14ac:dyDescent="0.3">
      <c r="A95" s="8">
        <f t="shared" si="8"/>
        <v>2.9607184334607416E-2</v>
      </c>
      <c r="B95" s="7">
        <f t="shared" si="5"/>
        <v>-8.2315245345100235E-3</v>
      </c>
      <c r="C95" s="7">
        <f t="shared" si="6"/>
        <v>9.318196411118862E-3</v>
      </c>
      <c r="D95" s="7">
        <f t="shared" si="7"/>
        <v>9.9989133281233915</v>
      </c>
    </row>
    <row r="96" spans="1:4" x14ac:dyDescent="0.3">
      <c r="A96" s="8">
        <f t="shared" si="8"/>
        <v>3.0012762202204779E-2</v>
      </c>
      <c r="B96" s="7">
        <f t="shared" si="5"/>
        <v>-6.4625941411498465E-3</v>
      </c>
      <c r="C96" s="7">
        <f t="shared" si="6"/>
        <v>8.1436168588808755E-3</v>
      </c>
      <c r="D96" s="7">
        <f t="shared" si="7"/>
        <v>9.9983189772822687</v>
      </c>
    </row>
    <row r="97" spans="1:4" x14ac:dyDescent="0.3">
      <c r="A97" s="8">
        <f t="shared" si="8"/>
        <v>3.0418340069802142E-2</v>
      </c>
      <c r="B97" s="7">
        <f t="shared" si="5"/>
        <v>-4.9222619364659524E-3</v>
      </c>
      <c r="C97" s="7">
        <f t="shared" si="6"/>
        <v>7.0635487153456467E-3</v>
      </c>
      <c r="D97" s="7">
        <f t="shared" si="7"/>
        <v>9.9978587132211203</v>
      </c>
    </row>
    <row r="98" spans="1:4" x14ac:dyDescent="0.3">
      <c r="A98" s="8">
        <f t="shared" si="8"/>
        <v>3.0823917937399505E-2</v>
      </c>
      <c r="B98" s="7">
        <f t="shared" si="5"/>
        <v>-3.5914710235966192E-3</v>
      </c>
      <c r="C98" s="7">
        <f t="shared" si="6"/>
        <v>6.0767032783104469E-3</v>
      </c>
      <c r="D98" s="7">
        <f t="shared" si="7"/>
        <v>9.9975147677452867</v>
      </c>
    </row>
    <row r="99" spans="1:4" x14ac:dyDescent="0.3">
      <c r="A99" s="8">
        <f t="shared" si="8"/>
        <v>3.1229495804996867E-2</v>
      </c>
      <c r="B99" s="7">
        <f t="shared" si="5"/>
        <v>-2.4515468585143826E-3</v>
      </c>
      <c r="C99" s="7">
        <f t="shared" si="6"/>
        <v>5.1806423197220397E-3</v>
      </c>
      <c r="D99" s="7">
        <f t="shared" si="7"/>
        <v>9.9972709045387926</v>
      </c>
    </row>
    <row r="100" spans="1:4" x14ac:dyDescent="0.3">
      <c r="A100" s="8">
        <f t="shared" si="8"/>
        <v>3.163507367259423E-2</v>
      </c>
      <c r="B100" s="7">
        <f t="shared" si="5"/>
        <v>-1.4844047287506045E-3</v>
      </c>
      <c r="C100" s="7">
        <f t="shared" si="6"/>
        <v>4.3720253329091463E-3</v>
      </c>
      <c r="D100" s="7">
        <f t="shared" si="7"/>
        <v>9.9971123793958423</v>
      </c>
    </row>
    <row r="101" spans="1:4" x14ac:dyDescent="0.3">
      <c r="A101" s="8">
        <f t="shared" si="8"/>
        <v>3.2040651540191589E-2</v>
      </c>
      <c r="B101" s="7">
        <f t="shared" si="5"/>
        <v>-6.727103797006678E-4</v>
      </c>
      <c r="C101" s="7">
        <f t="shared" si="6"/>
        <v>3.646824813094085E-3</v>
      </c>
      <c r="D101" s="7">
        <f t="shared" si="7"/>
        <v>9.9970258855666074</v>
      </c>
    </row>
    <row r="102" spans="1:4" x14ac:dyDescent="0.3">
      <c r="A102" s="8">
        <f t="shared" si="8"/>
        <v>3.2446229407788948E-2</v>
      </c>
      <c r="B102" s="7">
        <f t="shared" si="5"/>
        <v>7.3792410793390369E-17</v>
      </c>
      <c r="C102" s="7">
        <f t="shared" si="6"/>
        <v>3.0005122378078397E-3</v>
      </c>
      <c r="D102" s="7">
        <f t="shared" si="7"/>
        <v>9.9969994877621922</v>
      </c>
    </row>
    <row r="103" spans="1:4" x14ac:dyDescent="0.3">
      <c r="A103" s="8">
        <f t="shared" si="8"/>
        <v>3.2851807275386308E-2</v>
      </c>
      <c r="B103" s="7">
        <f t="shared" si="5"/>
        <v>5.4923475839198268E-4</v>
      </c>
      <c r="C103" s="7">
        <f t="shared" si="6"/>
        <v>2.4282173600180812E-3</v>
      </c>
      <c r="D103" s="7">
        <f t="shared" si="7"/>
        <v>9.9970225478815902</v>
      </c>
    </row>
    <row r="104" spans="1:4" x14ac:dyDescent="0.3">
      <c r="A104" s="8">
        <f t="shared" si="8"/>
        <v>3.3257385142983667E-2</v>
      </c>
      <c r="B104" s="7">
        <f t="shared" si="5"/>
        <v>9.8949157164555956E-4</v>
      </c>
      <c r="C104" s="7">
        <f t="shared" si="6"/>
        <v>1.9248633439268303E-3</v>
      </c>
      <c r="D104" s="7">
        <f t="shared" si="7"/>
        <v>9.997085645084427</v>
      </c>
    </row>
    <row r="105" spans="1:4" x14ac:dyDescent="0.3">
      <c r="A105" s="8">
        <f t="shared" si="8"/>
        <v>3.3662963010581026E-2</v>
      </c>
      <c r="B105" s="7">
        <f t="shared" si="5"/>
        <v>1.3342273960221147E-3</v>
      </c>
      <c r="C105" s="7">
        <f t="shared" si="6"/>
        <v>1.4852801683389316E-3</v>
      </c>
      <c r="D105" s="7">
        <f t="shared" si="7"/>
        <v>9.9971804924356391</v>
      </c>
    </row>
    <row r="106" spans="1:4" x14ac:dyDescent="0.3">
      <c r="A106" s="8">
        <f t="shared" si="8"/>
        <v>3.4068540878178386E-2</v>
      </c>
      <c r="B106" s="7">
        <f t="shared" si="5"/>
        <v>1.5958494089078905E-3</v>
      </c>
      <c r="C106" s="7">
        <f t="shared" si="6"/>
        <v>1.1042986003850785E-3</v>
      </c>
      <c r="D106" s="7">
        <f t="shared" si="7"/>
        <v>9.9972998519907073</v>
      </c>
    </row>
    <row r="107" spans="1:4" x14ac:dyDescent="0.3">
      <c r="A107" s="8">
        <f t="shared" si="8"/>
        <v>3.4474118745775745E-2</v>
      </c>
      <c r="B107" s="7">
        <f t="shared" si="5"/>
        <v>1.7857232210804475E-3</v>
      </c>
      <c r="C107" s="7">
        <f t="shared" si="6"/>
        <v>7.7682690872293847E-4</v>
      </c>
      <c r="D107" s="7">
        <f t="shared" si="7"/>
        <v>9.9974374498701959</v>
      </c>
    </row>
    <row r="108" spans="1:4" x14ac:dyDescent="0.3">
      <c r="A108" s="8">
        <f t="shared" si="8"/>
        <v>3.4879696613373104E-2</v>
      </c>
      <c r="B108" s="7">
        <f t="shared" si="5"/>
        <v>1.914195067979396E-3</v>
      </c>
      <c r="C108" s="7">
        <f t="shared" si="6"/>
        <v>4.9791234373763871E-4</v>
      </c>
      <c r="D108" s="7">
        <f t="shared" si="7"/>
        <v>9.9975878925882835</v>
      </c>
    </row>
    <row r="109" spans="1:4" x14ac:dyDescent="0.3">
      <c r="A109" s="8">
        <f t="shared" si="8"/>
        <v>3.5285274480970463E-2</v>
      </c>
      <c r="B109" s="7">
        <f t="shared" si="5"/>
        <v>1.9906250841955982E-3</v>
      </c>
      <c r="C109" s="7">
        <f t="shared" si="6"/>
        <v>2.6278926665312952E-4</v>
      </c>
      <c r="D109" s="7">
        <f t="shared" si="7"/>
        <v>9.9977465856491516</v>
      </c>
    </row>
    <row r="110" spans="1:4" x14ac:dyDescent="0.3">
      <c r="A110" s="8">
        <f t="shared" si="8"/>
        <v>3.5690852348567823E-2</v>
      </c>
      <c r="B110" s="7">
        <f t="shared" si="5"/>
        <v>2.0234291321239639E-3</v>
      </c>
      <c r="C110" s="7">
        <f t="shared" si="6"/>
        <v>6.6915662571886969E-5</v>
      </c>
      <c r="D110" s="7">
        <f t="shared" si="7"/>
        <v>9.9979096552053033</v>
      </c>
    </row>
    <row r="111" spans="1:4" x14ac:dyDescent="0.3">
      <c r="A111" s="8">
        <f t="shared" si="8"/>
        <v>3.6096430216165182E-2</v>
      </c>
      <c r="B111" s="7">
        <f t="shared" si="5"/>
        <v>2.0201269927453496E-3</v>
      </c>
      <c r="C111" s="7">
        <f t="shared" si="6"/>
        <v>-9.4000373380254132E-5</v>
      </c>
      <c r="D111" s="7">
        <f t="shared" si="7"/>
        <v>9.9980738733806351</v>
      </c>
    </row>
    <row r="112" spans="1:4" x14ac:dyDescent="0.3">
      <c r="A112" s="8">
        <f t="shared" si="8"/>
        <v>3.6502008083762541E-2</v>
      </c>
      <c r="B112" s="7">
        <f t="shared" si="5"/>
        <v>1.9873950342555627E-3</v>
      </c>
      <c r="C112" s="7">
        <f t="shared" si="6"/>
        <v>-2.2398273012669279E-4</v>
      </c>
      <c r="D112" s="7">
        <f t="shared" si="7"/>
        <v>9.998236587695871</v>
      </c>
    </row>
    <row r="113" spans="1:4" x14ac:dyDescent="0.3">
      <c r="A113" s="8">
        <f t="shared" si="8"/>
        <v>3.69075859513599E-2</v>
      </c>
      <c r="B113" s="7">
        <f t="shared" si="5"/>
        <v>1.9311217535402819E-3</v>
      </c>
      <c r="C113" s="7">
        <f t="shared" si="6"/>
        <v>-3.2677664628977254E-4</v>
      </c>
      <c r="D113" s="7">
        <f t="shared" si="7"/>
        <v>9.9983956548927502</v>
      </c>
    </row>
    <row r="114" spans="1:4" x14ac:dyDescent="0.3">
      <c r="A114" s="8">
        <f t="shared" si="8"/>
        <v>3.731316381895726E-2</v>
      </c>
      <c r="B114" s="7">
        <f t="shared" si="5"/>
        <v>1.8564648373773139E-3</v>
      </c>
      <c r="C114" s="7">
        <f t="shared" si="6"/>
        <v>-4.0584417084588154E-4</v>
      </c>
      <c r="D114" s="7">
        <f t="shared" si="7"/>
        <v>9.9985493793334683</v>
      </c>
    </row>
    <row r="115" spans="1:4" x14ac:dyDescent="0.3">
      <c r="A115" s="8">
        <f t="shared" si="8"/>
        <v>3.7718741686554619E-2</v>
      </c>
      <c r="B115" s="7">
        <f t="shared" si="5"/>
        <v>1.7679086160160365E-3</v>
      </c>
      <c r="C115" s="7">
        <f t="shared" si="6"/>
        <v>-4.6436466751309524E-4</v>
      </c>
      <c r="D115" s="7">
        <f t="shared" si="7"/>
        <v>9.9986964560514977</v>
      </c>
    </row>
    <row r="116" spans="1:4" x14ac:dyDescent="0.3">
      <c r="A116" s="8">
        <f t="shared" si="8"/>
        <v>3.8124319554151978E-2</v>
      </c>
      <c r="B116" s="7">
        <f t="shared" si="5"/>
        <v>1.6693209828742923E-3</v>
      </c>
      <c r="C116" s="7">
        <f t="shared" si="6"/>
        <v>-5.0523942964098012E-4</v>
      </c>
      <c r="D116" s="7">
        <f t="shared" si="7"/>
        <v>9.9988359184467672</v>
      </c>
    </row>
    <row r="117" spans="1:4" x14ac:dyDescent="0.3">
      <c r="A117" s="8">
        <f t="shared" si="8"/>
        <v>3.8529897421749337E-2</v>
      </c>
      <c r="B117" s="7">
        <f t="shared" si="5"/>
        <v>1.5640090320455076E-3</v>
      </c>
      <c r="C117" s="7">
        <f t="shared" si="6"/>
        <v>-5.3109958247254951E-4</v>
      </c>
      <c r="D117" s="7">
        <f t="shared" si="7"/>
        <v>9.9989670905504262</v>
      </c>
    </row>
    <row r="118" spans="1:4" x14ac:dyDescent="0.3">
      <c r="A118" s="8">
        <f t="shared" si="8"/>
        <v>3.8935475289346697E-2</v>
      </c>
      <c r="B118" s="7">
        <f t="shared" si="5"/>
        <v>1.4547728217241124E-3</v>
      </c>
      <c r="C118" s="7">
        <f t="shared" si="6"/>
        <v>-5.4431655189191019E-4</v>
      </c>
      <c r="D118" s="7">
        <f t="shared" si="7"/>
        <v>9.9990895437301681</v>
      </c>
    </row>
    <row r="119" spans="1:4" x14ac:dyDescent="0.3">
      <c r="A119" s="8">
        <f t="shared" ref="A119:A150" si="9">A118+$B$17</f>
        <v>3.9341053156944056E-2</v>
      </c>
      <c r="B119" s="7">
        <f t="shared" si="5"/>
        <v>1.3439568081633636E-3</v>
      </c>
      <c r="C119" s="7">
        <f t="shared" si="6"/>
        <v>-5.4701447295180117E-4</v>
      </c>
      <c r="D119" s="7">
        <f t="shared" si="7"/>
        <v>9.9992030576647881</v>
      </c>
    </row>
    <row r="120" spans="1:4" x14ac:dyDescent="0.3">
      <c r="A120" s="8">
        <f t="shared" si="9"/>
        <v>3.9746631024541415E-2</v>
      </c>
      <c r="B120" s="7">
        <f t="shared" si="5"/>
        <v>1.2334986130007159E-3</v>
      </c>
      <c r="C120" s="7">
        <f t="shared" si="6"/>
        <v>-5.410839976160986E-4</v>
      </c>
      <c r="D120" s="7">
        <f t="shared" si="7"/>
        <v>9.9993075853846154</v>
      </c>
    </row>
    <row r="121" spans="1:4" x14ac:dyDescent="0.3">
      <c r="A121" s="8">
        <f t="shared" si="9"/>
        <v>4.0152208892138774E-2</v>
      </c>
      <c r="B121" s="7">
        <f t="shared" si="5"/>
        <v>1.1249748883207448E-3</v>
      </c>
      <c r="C121" s="7">
        <f t="shared" si="6"/>
        <v>-5.2819703960693687E-4</v>
      </c>
      <c r="D121" s="7">
        <f t="shared" si="7"/>
        <v>9.9994032221512867</v>
      </c>
    </row>
    <row r="122" spans="1:4" x14ac:dyDescent="0.3">
      <c r="A122" s="8">
        <f t="shared" si="9"/>
        <v>4.0557786759736134E-2</v>
      </c>
      <c r="B122" s="7">
        <f t="shared" si="5"/>
        <v>1.019644130227179E-3</v>
      </c>
      <c r="C122" s="7">
        <f t="shared" si="6"/>
        <v>-5.0982206511385186E-4</v>
      </c>
      <c r="D122" s="7">
        <f t="shared" si="7"/>
        <v>9.9994901779348861</v>
      </c>
    </row>
    <row r="123" spans="1:4" x14ac:dyDescent="0.3">
      <c r="A123" s="8">
        <f t="shared" si="9"/>
        <v>4.0963364627333493E-2</v>
      </c>
      <c r="B123" s="7">
        <f t="shared" si="5"/>
        <v>9.1848636445698211E-4</v>
      </c>
      <c r="C123" s="7">
        <f t="shared" si="6"/>
        <v>-4.8723960182961434E-4</v>
      </c>
      <c r="D123" s="7">
        <f t="shared" si="7"/>
        <v>9.9995687532373729</v>
      </c>
    </row>
    <row r="124" spans="1:4" x14ac:dyDescent="0.3">
      <c r="A124" s="8">
        <f t="shared" si="9"/>
        <v>4.1368942494930852E-2</v>
      </c>
      <c r="B124" s="7">
        <f t="shared" si="5"/>
        <v>8.2223968811245395E-4</v>
      </c>
      <c r="C124" s="7">
        <f t="shared" si="6"/>
        <v>-4.6155769564570903E-4</v>
      </c>
      <c r="D124" s="7">
        <f t="shared" si="7"/>
        <v>9.9996393180075334</v>
      </c>
    </row>
    <row r="125" spans="1:4" x14ac:dyDescent="0.3">
      <c r="A125" s="8">
        <f t="shared" si="9"/>
        <v>4.1774520362528211E-2</v>
      </c>
      <c r="B125" s="7">
        <f t="shared" si="5"/>
        <v>7.31433701254436E-4</v>
      </c>
      <c r="C125" s="7">
        <f t="shared" si="6"/>
        <v>-4.3372709479250204E-4</v>
      </c>
      <c r="D125" s="7">
        <f t="shared" si="7"/>
        <v>9.999702293393538</v>
      </c>
    </row>
    <row r="126" spans="1:4" x14ac:dyDescent="0.3">
      <c r="A126" s="8">
        <f t="shared" si="9"/>
        <v>4.2180098230125571E-2</v>
      </c>
      <c r="B126" s="7">
        <f t="shared" si="5"/>
        <v>6.4641990214879671E-4</v>
      </c>
      <c r="C126" s="7">
        <f t="shared" si="6"/>
        <v>-4.0455598569444362E-4</v>
      </c>
      <c r="D126" s="7">
        <f t="shared" si="7"/>
        <v>9.9997581360835461</v>
      </c>
    </row>
    <row r="127" spans="1:4" x14ac:dyDescent="0.3">
      <c r="A127" s="8">
        <f t="shared" si="9"/>
        <v>4.258567609772293E-2</v>
      </c>
      <c r="B127" s="7">
        <f t="shared" si="5"/>
        <v>5.6739915155923771E-4</v>
      </c>
      <c r="C127" s="7">
        <f t="shared" si="6"/>
        <v>-3.7472414373418417E-4</v>
      </c>
      <c r="D127" s="7">
        <f t="shared" si="7"/>
        <v>9.9998073249921742</v>
      </c>
    </row>
    <row r="128" spans="1:4" x14ac:dyDescent="0.3">
      <c r="A128" s="8">
        <f t="shared" si="9"/>
        <v>4.2991253965320289E-2</v>
      </c>
      <c r="B128" s="7">
        <f t="shared" si="5"/>
        <v>4.9444633571308618E-4</v>
      </c>
      <c r="C128" s="7">
        <f t="shared" si="6"/>
        <v>-3.4479639588269606E-4</v>
      </c>
      <c r="D128" s="7">
        <f t="shared" si="7"/>
        <v>9.9998503500601696</v>
      </c>
    </row>
    <row r="129" spans="1:4" x14ac:dyDescent="0.3">
      <c r="A129" s="8">
        <f t="shared" si="9"/>
        <v>4.3396831832917648E-2</v>
      </c>
      <c r="B129" s="7">
        <f t="shared" si="5"/>
        <v>4.2753237542484491E-4</v>
      </c>
      <c r="C129" s="7">
        <f t="shared" si="6"/>
        <v>-3.1523532140020905E-4</v>
      </c>
      <c r="D129" s="7">
        <f t="shared" si="7"/>
        <v>9.9998877029459745</v>
      </c>
    </row>
    <row r="130" spans="1:4" x14ac:dyDescent="0.3">
      <c r="A130" s="8">
        <f t="shared" si="9"/>
        <v>4.3802409700515008E-2</v>
      </c>
      <c r="B130" s="7">
        <f t="shared" si="5"/>
        <v>3.6654374124978203E-4</v>
      </c>
      <c r="C130" s="7">
        <f t="shared" si="6"/>
        <v>-2.8641314154675968E-4</v>
      </c>
      <c r="D130" s="7">
        <f t="shared" si="7"/>
        <v>9.9999198694002978</v>
      </c>
    </row>
    <row r="131" spans="1:4" x14ac:dyDescent="0.3">
      <c r="A131" s="8">
        <f t="shared" si="9"/>
        <v>4.4207987568112367E-2</v>
      </c>
      <c r="B131" s="7">
        <f t="shared" si="5"/>
        <v>3.1129964227652424E-4</v>
      </c>
      <c r="C131" s="7">
        <f t="shared" si="6"/>
        <v>-2.5862277044907955E-4</v>
      </c>
      <c r="D131" s="7">
        <f t="shared" si="7"/>
        <v>9.9999473231281719</v>
      </c>
    </row>
    <row r="132" spans="1:4" x14ac:dyDescent="0.3">
      <c r="A132" s="8">
        <f t="shared" si="9"/>
        <v>4.4613565435709726E-2</v>
      </c>
      <c r="B132" s="7">
        <f t="shared" si="5"/>
        <v>2.6156705999222477E-4</v>
      </c>
      <c r="C132" s="7">
        <f t="shared" si="6"/>
        <v>-2.3208801672147672E-4</v>
      </c>
      <c r="D132" s="7">
        <f t="shared" si="7"/>
        <v>9.9999705209567296</v>
      </c>
    </row>
    <row r="133" spans="1:4" x14ac:dyDescent="0.3">
      <c r="A133" s="8">
        <f t="shared" si="9"/>
        <v>4.5019143303307085E-2</v>
      </c>
      <c r="B133" s="7">
        <f t="shared" si="5"/>
        <v>2.1707379922749346E-4</v>
      </c>
      <c r="C133" s="7">
        <f t="shared" si="6"/>
        <v>-2.0697294009686118E-4</v>
      </c>
      <c r="D133" s="7">
        <f t="shared" si="7"/>
        <v>9.9999898991408696</v>
      </c>
    </row>
    <row r="134" spans="1:4" x14ac:dyDescent="0.3">
      <c r="A134" s="8">
        <f t="shared" si="9"/>
        <v>4.5424721170904445E-2</v>
      </c>
      <c r="B134" s="7">
        <f t="shared" si="5"/>
        <v>1.7751972609920556E-4</v>
      </c>
      <c r="C134" s="7">
        <f t="shared" si="6"/>
        <v>-1.8339037899472999E-4</v>
      </c>
      <c r="D134" s="7">
        <f t="shared" si="7"/>
        <v>10.000005870652895</v>
      </c>
    </row>
    <row r="135" spans="1:4" x14ac:dyDescent="0.3">
      <c r="A135" s="8">
        <f t="shared" si="9"/>
        <v>4.5830299038501804E-2</v>
      </c>
      <c r="B135" s="7">
        <f t="shared" si="5"/>
        <v>1.4258635863722053E-4</v>
      </c>
      <c r="C135" s="7">
        <f t="shared" si="6"/>
        <v>-1.6140967444755461E-4</v>
      </c>
      <c r="D135" s="7">
        <f t="shared" si="7"/>
        <v>10.000018823315811</v>
      </c>
    </row>
    <row r="136" spans="1:4" x14ac:dyDescent="0.3">
      <c r="A136" s="8">
        <f t="shared" si="9"/>
        <v>4.6235876906099163E-2</v>
      </c>
      <c r="B136" s="7">
        <f t="shared" si="5"/>
        <v>1.1194496986233492E-4</v>
      </c>
      <c r="C136" s="7">
        <f t="shared" si="6"/>
        <v>-1.4106362304922015E-4</v>
      </c>
      <c r="D136" s="7">
        <f t="shared" si="7"/>
        <v>10.000029118653186</v>
      </c>
    </row>
    <row r="137" spans="1:4" x14ac:dyDescent="0.3">
      <c r="A137" s="8">
        <f t="shared" si="9"/>
        <v>4.6641454773696522E-2</v>
      </c>
      <c r="B137" s="7">
        <f t="shared" si="5"/>
        <v>8.526335587494674E-5</v>
      </c>
      <c r="C137" s="7">
        <f t="shared" si="6"/>
        <v>-1.2235469701238344E-4</v>
      </c>
      <c r="D137" s="7">
        <f t="shared" si="7"/>
        <v>10.000037091341138</v>
      </c>
    </row>
    <row r="138" spans="1:4" x14ac:dyDescent="0.3">
      <c r="A138" s="8">
        <f t="shared" si="9"/>
        <v>4.7047032641293882E-2</v>
      </c>
      <c r="B138" s="7">
        <f t="shared" si="5"/>
        <v>6.2211413360772685E-5</v>
      </c>
      <c r="C138" s="7">
        <f t="shared" si="6"/>
        <v>-1.0526057346282869E-4</v>
      </c>
      <c r="D138" s="7">
        <f t="shared" si="7"/>
        <v>10.000043049160102</v>
      </c>
    </row>
    <row r="139" spans="1:4" x14ac:dyDescent="0.3">
      <c r="A139" s="8">
        <f t="shared" si="9"/>
        <v>4.7452610508891241E-2</v>
      </c>
      <c r="B139" s="7">
        <f t="shared" si="5"/>
        <v>4.2465662116246915E-5</v>
      </c>
      <c r="C139" s="7">
        <f t="shared" si="6"/>
        <v>-8.973901744191437E-5</v>
      </c>
      <c r="D139" s="7">
        <f t="shared" si="7"/>
        <v>10.000047273355326</v>
      </c>
    </row>
    <row r="140" spans="1:4" x14ac:dyDescent="0.3">
      <c r="A140" s="8">
        <f t="shared" si="9"/>
        <v>4.78581883764886E-2</v>
      </c>
      <c r="B140" s="7">
        <f t="shared" si="5"/>
        <v>2.5712838992228743E-5</v>
      </c>
      <c r="C140" s="7">
        <f t="shared" si="6"/>
        <v>-7.5732164738440133E-5</v>
      </c>
      <c r="D140" s="7">
        <f t="shared" si="7"/>
        <v>10.000050019325746</v>
      </c>
    </row>
    <row r="141" spans="1:4" x14ac:dyDescent="0.3">
      <c r="A141" s="8">
        <f t="shared" si="9"/>
        <v>4.8263766244085959E-2</v>
      </c>
      <c r="B141" s="7">
        <f t="shared" si="5"/>
        <v>1.1652680260729846E-5</v>
      </c>
      <c r="C141" s="7">
        <f t="shared" si="6"/>
        <v>-6.3170250967914399E-5</v>
      </c>
      <c r="D141" s="7">
        <f t="shared" si="7"/>
        <v>10.000051517570707</v>
      </c>
    </row>
    <row r="142" spans="1:4" x14ac:dyDescent="0.3">
      <c r="A142" s="8">
        <f t="shared" si="9"/>
        <v>4.8669344111683319E-2</v>
      </c>
      <c r="B142" s="7">
        <f t="shared" si="5"/>
        <v>7.6447686543002683E-19</v>
      </c>
      <c r="C142" s="7">
        <f t="shared" si="6"/>
        <v>-5.1974833123580311E-5</v>
      </c>
      <c r="D142" s="7">
        <f t="shared" si="7"/>
        <v>10.000051974833124</v>
      </c>
    </row>
    <row r="143" spans="1:4" x14ac:dyDescent="0.3">
      <c r="A143" s="8">
        <f t="shared" si="9"/>
        <v>4.9074921979280678E-2</v>
      </c>
      <c r="B143" s="7">
        <f t="shared" si="5"/>
        <v>-9.5138371886964941E-6</v>
      </c>
      <c r="C143" s="7">
        <f t="shared" si="6"/>
        <v>-4.2061548853666864E-5</v>
      </c>
      <c r="D143" s="7">
        <f t="shared" si="7"/>
        <v>10.000051575386042</v>
      </c>
    </row>
    <row r="144" spans="1:4" x14ac:dyDescent="0.3">
      <c r="A144" s="8">
        <f t="shared" si="9"/>
        <v>4.9480499846878037E-2</v>
      </c>
      <c r="B144" s="7">
        <f t="shared" si="5"/>
        <v>-1.7139959859397168E-5</v>
      </c>
      <c r="C144" s="7">
        <f t="shared" si="6"/>
        <v>-3.3342457275153947E-5</v>
      </c>
      <c r="D144" s="7">
        <f t="shared" si="7"/>
        <v>10.000050482417134</v>
      </c>
    </row>
    <row r="145" spans="1:4" x14ac:dyDescent="0.3">
      <c r="A145" s="8">
        <f t="shared" si="9"/>
        <v>4.9886077714475396E-2</v>
      </c>
      <c r="B145" s="7">
        <f t="shared" si="5"/>
        <v>-2.3111469229693816E-5</v>
      </c>
      <c r="C145" s="7">
        <f t="shared" si="6"/>
        <v>-2.57280033455487E-5</v>
      </c>
      <c r="D145" s="7">
        <f t="shared" si="7"/>
        <v>10.000048839472575</v>
      </c>
    </row>
    <row r="146" spans="1:4" x14ac:dyDescent="0.3">
      <c r="A146" s="8">
        <f t="shared" si="9"/>
        <v>5.0291655582072756E-2</v>
      </c>
      <c r="B146" s="7">
        <f t="shared" si="5"/>
        <v>-2.7643282261451326E-5</v>
      </c>
      <c r="C146" s="7">
        <f t="shared" si="6"/>
        <v>-1.9128645687871426E-5</v>
      </c>
      <c r="D146" s="7">
        <f t="shared" si="7"/>
        <v>10.000046771927948</v>
      </c>
    </row>
    <row r="147" spans="1:4" x14ac:dyDescent="0.3">
      <c r="A147" s="8">
        <f t="shared" si="9"/>
        <v>5.0697233449670115E-2</v>
      </c>
      <c r="B147" s="7">
        <f t="shared" si="5"/>
        <v>-3.0932273913574827E-5</v>
      </c>
      <c r="C147" s="7">
        <f t="shared" si="6"/>
        <v>-1.3456185392612952E-5</v>
      </c>
      <c r="D147" s="7">
        <f t="shared" si="7"/>
        <v>10.000044388459306</v>
      </c>
    </row>
    <row r="148" spans="1:4" x14ac:dyDescent="0.3">
      <c r="A148" s="8">
        <f t="shared" si="9"/>
        <v>5.1102811317267474E-2</v>
      </c>
      <c r="B148" s="7">
        <f t="shared" si="5"/>
        <v>-3.3157661538907517E-5</v>
      </c>
      <c r="C148" s="7">
        <f t="shared" si="6"/>
        <v>-8.6248310040559772E-6</v>
      </c>
      <c r="D148" s="7">
        <f t="shared" si="7"/>
        <v>10.000041782492543</v>
      </c>
    </row>
    <row r="149" spans="1:4" x14ac:dyDescent="0.3">
      <c r="A149" s="8">
        <f t="shared" si="9"/>
        <v>5.1508389184864833E-2</v>
      </c>
      <c r="B149" s="7">
        <f t="shared" si="5"/>
        <v>-3.4481581264489819E-5</v>
      </c>
      <c r="C149" s="7">
        <f t="shared" si="6"/>
        <v>-4.5520321858560919E-6</v>
      </c>
      <c r="D149" s="7">
        <f t="shared" si="7"/>
        <v>10.000039033613451</v>
      </c>
    </row>
    <row r="150" spans="1:4" x14ac:dyDescent="0.3">
      <c r="A150" s="8">
        <f t="shared" si="9"/>
        <v>5.1913967052462193E-2</v>
      </c>
      <c r="B150" s="7">
        <f t="shared" ref="B150:B213" si="10">(($B$8/($B$6*$B$13))*EXP(-$B$11*A150)*SIN($B$13*A150))*$B$5</f>
        <v>-3.5049812546928229E-5</v>
      </c>
      <c r="C150" s="7">
        <f t="shared" ref="C150:C213" si="11">$B$8-B150-D150</f>
        <v>-1.1591122177634361E-6</v>
      </c>
      <c r="D150" s="7">
        <f t="shared" ref="D150:D213" si="12">$B$8*(1-EXP(-$B$11*A150)*(COS($B$13*A150)+($B$11/$B$13)*SIN($B$13*A150)))</f>
        <v>10.000036208924765</v>
      </c>
    </row>
    <row r="151" spans="1:4" x14ac:dyDescent="0.3">
      <c r="A151" s="8">
        <f t="shared" ref="A151:A182" si="13">A150+$B$17</f>
        <v>5.2319544920059552E-2</v>
      </c>
      <c r="B151" s="7">
        <f t="shared" si="10"/>
        <v>-3.4992612932478426E-5</v>
      </c>
      <c r="C151" s="7">
        <f t="shared" si="11"/>
        <v>1.6282732175909587E-6</v>
      </c>
      <c r="D151" s="7">
        <f t="shared" si="12"/>
        <v>10.000033364339714</v>
      </c>
    </row>
    <row r="152" spans="1:4" x14ac:dyDescent="0.3">
      <c r="A152" s="8">
        <f t="shared" si="13"/>
        <v>5.2725122787656911E-2</v>
      </c>
      <c r="B152" s="7">
        <f t="shared" si="10"/>
        <v>-3.4425630382337614E-5</v>
      </c>
      <c r="C152" s="7">
        <f t="shared" si="11"/>
        <v>3.879825875685583E-6</v>
      </c>
      <c r="D152" s="7">
        <f t="shared" si="12"/>
        <v>10.000030545804506</v>
      </c>
    </row>
    <row r="153" spans="1:4" x14ac:dyDescent="0.3">
      <c r="A153" s="8">
        <f t="shared" si="13"/>
        <v>5.313070065525427E-2</v>
      </c>
      <c r="B153" s="7">
        <f t="shared" si="10"/>
        <v>-3.3450865361335493E-5</v>
      </c>
      <c r="C153" s="7">
        <f t="shared" si="11"/>
        <v>5.6604207276933494E-6</v>
      </c>
      <c r="D153" s="7">
        <f t="shared" si="12"/>
        <v>10.000027790444634</v>
      </c>
    </row>
    <row r="154" spans="1:4" x14ac:dyDescent="0.3">
      <c r="A154" s="8">
        <f t="shared" si="13"/>
        <v>5.353627852285163E-2</v>
      </c>
      <c r="B154" s="7">
        <f t="shared" si="10"/>
        <v>-3.215765925132116E-5</v>
      </c>
      <c r="C154" s="7">
        <f t="shared" si="11"/>
        <v>7.0300273371515232E-6</v>
      </c>
      <c r="D154" s="7">
        <f t="shared" si="12"/>
        <v>10.000025127631915</v>
      </c>
    </row>
    <row r="155" spans="1:4" x14ac:dyDescent="0.3">
      <c r="A155" s="8">
        <f t="shared" si="13"/>
        <v>5.3941856390448989E-2</v>
      </c>
      <c r="B155" s="7">
        <f t="shared" si="10"/>
        <v>-3.0623689561303478E-5</v>
      </c>
      <c r="C155" s="7">
        <f t="shared" si="11"/>
        <v>8.0437186014137296E-6</v>
      </c>
      <c r="D155" s="7">
        <f t="shared" si="12"/>
        <v>10.00002257997096</v>
      </c>
    </row>
    <row r="156" spans="1:4" x14ac:dyDescent="0.3">
      <c r="A156" s="8">
        <f t="shared" si="13"/>
        <v>5.4347434258046348E-2</v>
      </c>
      <c r="B156" s="7">
        <f t="shared" si="10"/>
        <v>-2.8915955889684267E-5</v>
      </c>
      <c r="C156" s="7">
        <f t="shared" si="11"/>
        <v>8.7517506877077267E-6</v>
      </c>
      <c r="D156" s="7">
        <f t="shared" si="12"/>
        <v>10.000020164205202</v>
      </c>
    </row>
    <row r="157" spans="1:4" x14ac:dyDescent="0.3">
      <c r="A157" s="8">
        <f t="shared" si="13"/>
        <v>5.4753012125643707E-2</v>
      </c>
      <c r="B157" s="7">
        <f t="shared" si="10"/>
        <v>-2.7091743676417579E-5</v>
      </c>
      <c r="C157" s="7">
        <f t="shared" si="11"/>
        <v>9.1996999120880218E-6</v>
      </c>
      <c r="D157" s="7">
        <f t="shared" si="12"/>
        <v>10.000017892043765</v>
      </c>
    </row>
    <row r="158" spans="1:4" x14ac:dyDescent="0.3">
      <c r="A158" s="8">
        <f t="shared" si="13"/>
        <v>5.5158589993241067E-2</v>
      </c>
      <c r="B158" s="7">
        <f t="shared" si="10"/>
        <v>-2.5199555492350669E-5</v>
      </c>
      <c r="C158" s="7">
        <f t="shared" si="11"/>
        <v>9.4286440806001792E-6</v>
      </c>
      <c r="D158" s="7">
        <f t="shared" si="12"/>
        <v>10.000015770911412</v>
      </c>
    </row>
    <row r="159" spans="1:4" x14ac:dyDescent="0.3">
      <c r="A159" s="8">
        <f t="shared" si="13"/>
        <v>5.5564167860838426E-2</v>
      </c>
      <c r="B159" s="7">
        <f t="shared" si="10"/>
        <v>-2.328000197755817E-5</v>
      </c>
      <c r="C159" s="7">
        <f t="shared" si="11"/>
        <v>9.4753774337874574E-6</v>
      </c>
      <c r="D159" s="7">
        <f t="shared" si="12"/>
        <v>10.000013804624544</v>
      </c>
    </row>
    <row r="160" spans="1:4" x14ac:dyDescent="0.3">
      <c r="A160" s="8">
        <f t="shared" si="13"/>
        <v>5.5969745728435785E-2</v>
      </c>
      <c r="B160" s="7">
        <f t="shared" si="10"/>
        <v>-2.1366646588304215E-5</v>
      </c>
      <c r="C160" s="7">
        <f t="shared" si="11"/>
        <v>9.3726498207047371E-6</v>
      </c>
      <c r="D160" s="7">
        <f t="shared" si="12"/>
        <v>10.000011993996768</v>
      </c>
    </row>
    <row r="161" spans="1:4" x14ac:dyDescent="0.3">
      <c r="A161" s="8">
        <f t="shared" si="13"/>
        <v>5.6375323596033144E-2</v>
      </c>
      <c r="B161" s="7">
        <f t="shared" si="10"/>
        <v>-1.9486800071053221E-5</v>
      </c>
      <c r="C161" s="7">
        <f t="shared" si="11"/>
        <v>9.1494221035048895E-6</v>
      </c>
      <c r="D161" s="7">
        <f t="shared" si="12"/>
        <v>10.000010337377967</v>
      </c>
    </row>
    <row r="162" spans="1:4" x14ac:dyDescent="0.3">
      <c r="A162" s="8">
        <f t="shared" si="13"/>
        <v>5.6780901463630504E-2</v>
      </c>
      <c r="B162" s="7">
        <f t="shared" si="10"/>
        <v>-1.7662262078595741E-5</v>
      </c>
      <c r="C162" s="7">
        <f t="shared" si="11"/>
        <v>8.8311310371125273E-6</v>
      </c>
      <c r="D162" s="7">
        <f t="shared" si="12"/>
        <v>10.000008831131041</v>
      </c>
    </row>
    <row r="163" spans="1:4" x14ac:dyDescent="0.3">
      <c r="A163" s="8">
        <f t="shared" si="13"/>
        <v>5.7186479331227863E-2</v>
      </c>
      <c r="B163" s="7">
        <f t="shared" si="10"/>
        <v>-1.5910008603728659E-5</v>
      </c>
      <c r="C163" s="7">
        <f t="shared" si="11"/>
        <v>8.4399579094451838E-6</v>
      </c>
      <c r="D163" s="7">
        <f t="shared" si="12"/>
        <v>10.000007470050694</v>
      </c>
    </row>
    <row r="164" spans="1:4" x14ac:dyDescent="0.3">
      <c r="A164" s="8">
        <f t="shared" si="13"/>
        <v>5.7592057198825222E-2</v>
      </c>
      <c r="B164" s="7">
        <f t="shared" si="10"/>
        <v>-1.4242824954652904E-5</v>
      </c>
      <c r="C164" s="7">
        <f t="shared" si="11"/>
        <v>7.9950962739161469E-6</v>
      </c>
      <c r="D164" s="7">
        <f t="shared" si="12"/>
        <v>10.000006247728681</v>
      </c>
    </row>
    <row r="165" spans="1:4" x14ac:dyDescent="0.3">
      <c r="A165" s="8">
        <f t="shared" si="13"/>
        <v>5.7997635066422581E-2</v>
      </c>
      <c r="B165" s="7">
        <f t="shared" si="10"/>
        <v>-1.2669884856587067E-5</v>
      </c>
      <c r="C165" s="7">
        <f t="shared" si="11"/>
        <v>7.5130149745916697E-6</v>
      </c>
      <c r="D165" s="7">
        <f t="shared" si="12"/>
        <v>10.000005156869882</v>
      </c>
    </row>
    <row r="166" spans="1:4" x14ac:dyDescent="0.3">
      <c r="A166" s="8">
        <f t="shared" si="13"/>
        <v>5.8403212934019941E-2</v>
      </c>
      <c r="B166" s="7">
        <f t="shared" si="10"/>
        <v>-1.1197276957823069E-5</v>
      </c>
      <c r="C166" s="7">
        <f t="shared" si="11"/>
        <v>7.0077134104451488E-6</v>
      </c>
      <c r="D166" s="7">
        <f t="shared" si="12"/>
        <v>10.000004189563548</v>
      </c>
    </row>
    <row r="167" spans="1:4" x14ac:dyDescent="0.3">
      <c r="A167" s="8">
        <f t="shared" si="13"/>
        <v>5.88087908016173E-2</v>
      </c>
      <c r="B167" s="7">
        <f t="shared" si="10"/>
        <v>-9.8284805658415185E-6</v>
      </c>
      <c r="C167" s="7">
        <f t="shared" si="11"/>
        <v>6.4909666406265387E-6</v>
      </c>
      <c r="D167" s="7">
        <f t="shared" si="12"/>
        <v>10.000003337513926</v>
      </c>
    </row>
    <row r="168" spans="1:4" x14ac:dyDescent="0.3">
      <c r="A168" s="8">
        <f t="shared" si="13"/>
        <v>5.9214368669214659E-2</v>
      </c>
      <c r="B168" s="7">
        <f t="shared" si="10"/>
        <v>-8.5647928588773422E-6</v>
      </c>
      <c r="C168" s="7">
        <f t="shared" si="11"/>
        <v>5.9725585899172984E-6</v>
      </c>
      <c r="D168" s="7">
        <f t="shared" si="12"/>
        <v>10.000002592234269</v>
      </c>
    </row>
    <row r="169" spans="1:4" x14ac:dyDescent="0.3">
      <c r="A169" s="8">
        <f t="shared" si="13"/>
        <v>5.9619946536812019E-2</v>
      </c>
      <c r="B169" s="7">
        <f t="shared" si="10"/>
        <v>-7.4057101276656824E-6</v>
      </c>
      <c r="C169" s="7">
        <f t="shared" si="11"/>
        <v>5.4605020469722376E-6</v>
      </c>
      <c r="D169" s="7">
        <f t="shared" si="12"/>
        <v>10.00000194520808</v>
      </c>
    </row>
    <row r="170" spans="1:4" x14ac:dyDescent="0.3">
      <c r="A170" s="8">
        <f t="shared" si="13"/>
        <v>6.0025524404409378E-2</v>
      </c>
      <c r="B170" s="7">
        <f t="shared" si="10"/>
        <v>-6.3492658166730143E-6</v>
      </c>
      <c r="C170" s="7">
        <f t="shared" si="11"/>
        <v>4.9612446328950455E-6</v>
      </c>
      <c r="D170" s="7">
        <f t="shared" si="12"/>
        <v>10.000001388021184</v>
      </c>
    </row>
    <row r="171" spans="1:4" x14ac:dyDescent="0.3">
      <c r="A171" s="8">
        <f t="shared" si="13"/>
        <v>6.0431102272006737E-2</v>
      </c>
      <c r="B171" s="7">
        <f t="shared" si="10"/>
        <v>-5.3923282681342239E-6</v>
      </c>
      <c r="C171" s="7">
        <f t="shared" si="11"/>
        <v>4.4798601930295945E-6</v>
      </c>
      <c r="D171" s="7">
        <f t="shared" si="12"/>
        <v>10.000000912468074</v>
      </c>
    </row>
    <row r="172" spans="1:4" x14ac:dyDescent="0.3">
      <c r="A172" s="8">
        <f t="shared" si="13"/>
        <v>6.0836680139604096E-2</v>
      </c>
      <c r="B172" s="7">
        <f t="shared" si="10"/>
        <v>-4.5308611384652392E-6</v>
      </c>
      <c r="C172" s="7">
        <f t="shared" si="11"/>
        <v>4.0202255426891043E-6</v>
      </c>
      <c r="D172" s="7">
        <f t="shared" si="12"/>
        <v>10.000000510635596</v>
      </c>
    </row>
    <row r="173" spans="1:4" x14ac:dyDescent="0.3">
      <c r="A173" s="8">
        <f t="shared" si="13"/>
        <v>6.1242258007201456E-2</v>
      </c>
      <c r="B173" s="7">
        <f t="shared" si="10"/>
        <v>-3.7601494665578168E-6</v>
      </c>
      <c r="C173" s="7">
        <f t="shared" si="11"/>
        <v>3.5851825188615294E-6</v>
      </c>
      <c r="D173" s="7">
        <f t="shared" si="12"/>
        <v>10.000000174966948</v>
      </c>
    </row>
    <row r="174" spans="1:4" x14ac:dyDescent="0.3">
      <c r="A174" s="8">
        <f t="shared" si="13"/>
        <v>6.1647835874798815E-2</v>
      </c>
      <c r="B174" s="7">
        <f t="shared" si="10"/>
        <v>-3.0749943372754906E-6</v>
      </c>
      <c r="C174" s="7">
        <f t="shared" si="11"/>
        <v>3.1766857091497513E-6</v>
      </c>
      <c r="D174" s="7">
        <f t="shared" si="12"/>
        <v>9.9999998983086282</v>
      </c>
    </row>
    <row r="175" spans="1:4" x14ac:dyDescent="0.3">
      <c r="A175" s="8">
        <f t="shared" si="13"/>
        <v>6.2053413742396174E-2</v>
      </c>
      <c r="B175" s="7">
        <f t="shared" si="10"/>
        <v>-2.4698790101622989E-6</v>
      </c>
      <c r="C175" s="7">
        <f t="shared" si="11"/>
        <v>2.7959362380869379E-6</v>
      </c>
      <c r="D175" s="7">
        <f t="shared" si="12"/>
        <v>9.9999996739427726</v>
      </c>
    </row>
    <row r="176" spans="1:4" x14ac:dyDescent="0.3">
      <c r="A176" s="8">
        <f t="shared" si="13"/>
        <v>6.2458991609993533E-2</v>
      </c>
      <c r="B176" s="7">
        <f t="shared" si="10"/>
        <v>-1.9391092808513524E-6</v>
      </c>
      <c r="C176" s="7">
        <f t="shared" si="11"/>
        <v>2.4435022041302545E-6</v>
      </c>
      <c r="D176" s="7">
        <f t="shared" si="12"/>
        <v>9.9999994956070761</v>
      </c>
    </row>
    <row r="177" spans="1:4" x14ac:dyDescent="0.3">
      <c r="A177" s="8">
        <f t="shared" si="13"/>
        <v>6.2864569477590893E-2</v>
      </c>
      <c r="B177" s="7">
        <f t="shared" si="10"/>
        <v>-1.4769307178068287E-6</v>
      </c>
      <c r="C177" s="7">
        <f t="shared" si="11"/>
        <v>2.119426437019456E-6</v>
      </c>
      <c r="D177" s="7">
        <f t="shared" si="12"/>
        <v>9.9999993575042811</v>
      </c>
    </row>
    <row r="178" spans="1:4" x14ac:dyDescent="0.3">
      <c r="A178" s="8">
        <f t="shared" si="13"/>
        <v>6.3270147345188252E-2</v>
      </c>
      <c r="B178" s="7">
        <f t="shared" si="10"/>
        <v>-1.0776252758038853E-6</v>
      </c>
      <c r="C178" s="7">
        <f t="shared" si="11"/>
        <v>1.8233222558450279E-6</v>
      </c>
      <c r="D178" s="7">
        <f t="shared" si="12"/>
        <v>9.9999992543030203</v>
      </c>
    </row>
    <row r="179" spans="1:4" x14ac:dyDescent="0.3">
      <c r="A179" s="8">
        <f t="shared" si="13"/>
        <v>6.3675725212785611E-2</v>
      </c>
      <c r="B179" s="7">
        <f t="shared" si="10"/>
        <v>-7.3558963505354454E-7</v>
      </c>
      <c r="C179" s="7">
        <f t="shared" si="11"/>
        <v>1.5544580680426634E-6</v>
      </c>
      <c r="D179" s="7">
        <f t="shared" si="12"/>
        <v>9.9999991811315674</v>
      </c>
    </row>
    <row r="180" spans="1:4" x14ac:dyDescent="0.3">
      <c r="A180" s="8">
        <f t="shared" si="13"/>
        <v>6.408130308038297E-2</v>
      </c>
      <c r="B180" s="7">
        <f t="shared" si="10"/>
        <v>-4.4539745544785494E-7</v>
      </c>
      <c r="C180" s="7">
        <f t="shared" si="11"/>
        <v>1.3118315518312329E-6</v>
      </c>
      <c r="D180" s="7">
        <f t="shared" si="12"/>
        <v>9.999999133565904</v>
      </c>
    </row>
    <row r="181" spans="1:4" x14ac:dyDescent="0.3">
      <c r="A181" s="8">
        <f t="shared" si="13"/>
        <v>6.448688094798033E-2</v>
      </c>
      <c r="B181" s="7">
        <f t="shared" si="10"/>
        <v>-2.0184757267937416E-7</v>
      </c>
      <c r="C181" s="7">
        <f t="shared" si="11"/>
        <v>1.0942342498765356E-6</v>
      </c>
      <c r="D181" s="7">
        <f t="shared" si="12"/>
        <v>9.9999991076133234</v>
      </c>
    </row>
    <row r="182" spans="1:4" x14ac:dyDescent="0.3">
      <c r="A182" s="8">
        <f t="shared" si="13"/>
        <v>6.4892458815577689E-2</v>
      </c>
      <c r="B182" s="7">
        <f t="shared" si="10"/>
        <v>-5.0690664394996072E-20</v>
      </c>
      <c r="C182" s="7">
        <f t="shared" si="11"/>
        <v>9.0030736821233859E-7</v>
      </c>
      <c r="D182" s="7">
        <f t="shared" si="12"/>
        <v>9.9999990996926318</v>
      </c>
    </row>
    <row r="183" spans="1:4" x14ac:dyDescent="0.3">
      <c r="A183" s="8">
        <f t="shared" ref="A183:A214" si="14">A182+$B$17</f>
        <v>6.5298036683175048E-2</v>
      </c>
      <c r="B183" s="7">
        <f t="shared" si="10"/>
        <v>1.6479856139845501E-7</v>
      </c>
      <c r="C183" s="7">
        <f t="shared" si="11"/>
        <v>7.2858959221377972E-7</v>
      </c>
      <c r="D183" s="7">
        <f t="shared" si="12"/>
        <v>9.9999991066118472</v>
      </c>
    </row>
    <row r="184" spans="1:4" x14ac:dyDescent="0.3">
      <c r="A184" s="8">
        <f t="shared" si="14"/>
        <v>6.5703614550772407E-2</v>
      </c>
      <c r="B184" s="7">
        <f t="shared" si="10"/>
        <v>2.9689815699307175E-7</v>
      </c>
      <c r="C184" s="7">
        <f t="shared" si="11"/>
        <v>5.7755760174416082E-7</v>
      </c>
      <c r="D184" s="7">
        <f t="shared" si="12"/>
        <v>9.9999991255442406</v>
      </c>
    </row>
    <row r="185" spans="1:4" x14ac:dyDescent="0.3">
      <c r="A185" s="8">
        <f t="shared" si="14"/>
        <v>6.6109192418369767E-2</v>
      </c>
      <c r="B185" s="7">
        <f t="shared" si="10"/>
        <v>4.0033656297838051E-7</v>
      </c>
      <c r="C185" s="7">
        <f t="shared" si="11"/>
        <v>4.4566013279734307E-7</v>
      </c>
      <c r="D185" s="7">
        <f t="shared" si="12"/>
        <v>9.9999991540033051</v>
      </c>
    </row>
    <row r="186" spans="1:4" x14ac:dyDescent="0.3">
      <c r="A186" s="8">
        <f t="shared" si="14"/>
        <v>6.6514770285967126E-2</v>
      </c>
      <c r="B186" s="7">
        <f t="shared" si="10"/>
        <v>4.7883656811278292E-7</v>
      </c>
      <c r="C186" s="7">
        <f t="shared" si="11"/>
        <v>3.3134614518814942E-7</v>
      </c>
      <c r="D186" s="7">
        <f t="shared" si="12"/>
        <v>9.9999991898172862</v>
      </c>
    </row>
    <row r="187" spans="1:4" x14ac:dyDescent="0.3">
      <c r="A187" s="8">
        <f t="shared" si="14"/>
        <v>6.6920348153564485E-2</v>
      </c>
      <c r="B187" s="7">
        <f t="shared" si="10"/>
        <v>5.3580843781911011E-7</v>
      </c>
      <c r="C187" s="7">
        <f t="shared" si="11"/>
        <v>2.330878654532853E-7</v>
      </c>
      <c r="D187" s="7">
        <f t="shared" si="12"/>
        <v>9.9999992311036969</v>
      </c>
    </row>
    <row r="188" spans="1:4" x14ac:dyDescent="0.3">
      <c r="A188" s="8">
        <f t="shared" si="14"/>
        <v>6.7325926021161844E-2</v>
      </c>
      <c r="B188" s="7">
        <f t="shared" si="10"/>
        <v>5.7435657270253555E-7</v>
      </c>
      <c r="C188" s="7">
        <f t="shared" si="11"/>
        <v>1.4939920767176318E-7</v>
      </c>
      <c r="D188" s="7">
        <f t="shared" si="12"/>
        <v>9.9999992762442194</v>
      </c>
    </row>
    <row r="189" spans="1:4" x14ac:dyDescent="0.3">
      <c r="A189" s="8">
        <f t="shared" si="14"/>
        <v>6.7731503888759204E-2</v>
      </c>
      <c r="B189" s="7">
        <f t="shared" si="10"/>
        <v>5.972894926018062E-7</v>
      </c>
      <c r="C189" s="7">
        <f t="shared" si="11"/>
        <v>7.8850241891359474E-8</v>
      </c>
      <c r="D189" s="7">
        <f t="shared" si="12"/>
        <v>9.9999993238602656</v>
      </c>
    </row>
    <row r="190" spans="1:4" x14ac:dyDescent="0.3">
      <c r="A190" s="8">
        <f t="shared" si="14"/>
        <v>6.8137081756356563E-2</v>
      </c>
      <c r="B190" s="7">
        <f t="shared" si="10"/>
        <v>6.0713238732768289E-7</v>
      </c>
      <c r="C190" s="7">
        <f t="shared" si="11"/>
        <v>2.0078125828604243E-8</v>
      </c>
      <c r="D190" s="7">
        <f t="shared" si="12"/>
        <v>9.9999993727894871</v>
      </c>
    </row>
    <row r="191" spans="1:4" x14ac:dyDescent="0.3">
      <c r="A191" s="8">
        <f t="shared" si="14"/>
        <v>6.8542659623953922E-2</v>
      </c>
      <c r="B191" s="7">
        <f t="shared" si="10"/>
        <v>6.0614157636603909E-7</v>
      </c>
      <c r="C191" s="7">
        <f t="shared" si="11"/>
        <v>-2.820492639443728E-8</v>
      </c>
      <c r="D191" s="7">
        <f t="shared" si="12"/>
        <v>9.9999994220633504</v>
      </c>
    </row>
    <row r="192" spans="1:4" x14ac:dyDescent="0.3">
      <c r="A192" s="8">
        <f t="shared" si="14"/>
        <v>6.8948237491551281E-2</v>
      </c>
      <c r="B192" s="7">
        <f t="shared" si="10"/>
        <v>5.963203121644362E-7</v>
      </c>
      <c r="C192" s="7">
        <f t="shared" si="11"/>
        <v>-6.7206292087007569E-8</v>
      </c>
      <c r="D192" s="7">
        <f t="shared" si="12"/>
        <v>9.9999994708859798</v>
      </c>
    </row>
    <row r="193" spans="1:4" x14ac:dyDescent="0.3">
      <c r="A193" s="8">
        <f t="shared" si="14"/>
        <v>6.9353815359148641E-2</v>
      </c>
      <c r="B193" s="7">
        <f t="shared" si="10"/>
        <v>5.7943544541965353E-7</v>
      </c>
      <c r="C193" s="7">
        <f t="shared" si="11"/>
        <v>-9.8049733665561689E-8</v>
      </c>
      <c r="D193" s="7">
        <f t="shared" si="12"/>
        <v>9.9999995186142883</v>
      </c>
    </row>
    <row r="194" spans="1:4" x14ac:dyDescent="0.3">
      <c r="A194" s="8">
        <f t="shared" si="14"/>
        <v>6.9759393226746E-2</v>
      </c>
      <c r="B194" s="7">
        <f t="shared" si="10"/>
        <v>5.5703454636124979E-7</v>
      </c>
      <c r="C194" s="7">
        <f t="shared" si="11"/>
        <v>-1.2177403974078516E-7</v>
      </c>
      <c r="D194" s="7">
        <f t="shared" si="12"/>
        <v>9.9999995647394933</v>
      </c>
    </row>
    <row r="195" spans="1:4" x14ac:dyDescent="0.3">
      <c r="A195" s="8">
        <f t="shared" si="14"/>
        <v>7.0164971094343359E-2</v>
      </c>
      <c r="B195" s="7">
        <f t="shared" si="10"/>
        <v>5.304631437683895E-7</v>
      </c>
      <c r="C195" s="7">
        <f t="shared" si="11"/>
        <v>-1.3933318676606632E-7</v>
      </c>
      <c r="D195" s="7">
        <f t="shared" si="12"/>
        <v>9.9999996088700431</v>
      </c>
    </row>
    <row r="196" spans="1:4" x14ac:dyDescent="0.3">
      <c r="A196" s="8">
        <f t="shared" si="14"/>
        <v>7.0570548961940718E-2</v>
      </c>
      <c r="B196" s="7">
        <f t="shared" si="10"/>
        <v>5.0088180379455047E-7</v>
      </c>
      <c r="C196" s="7">
        <f t="shared" si="11"/>
        <v>-1.5159770860861954E-7</v>
      </c>
      <c r="D196" s="7">
        <f t="shared" si="12"/>
        <v>9.999999650715905</v>
      </c>
    </row>
    <row r="197" spans="1:4" x14ac:dyDescent="0.3">
      <c r="A197" s="8">
        <f t="shared" si="14"/>
        <v>7.0976126829538078E-2</v>
      </c>
      <c r="B197" s="7">
        <f t="shared" si="10"/>
        <v>4.6928282406962198E-7</v>
      </c>
      <c r="C197" s="7">
        <f t="shared" si="11"/>
        <v>-1.5935708042036367E-7</v>
      </c>
      <c r="D197" s="7">
        <f t="shared" si="12"/>
        <v>9.9999996900742563</v>
      </c>
    </row>
    <row r="198" spans="1:4" x14ac:dyDescent="0.3">
      <c r="A198" s="8">
        <f t="shared" si="14"/>
        <v>7.1381704697135437E-2</v>
      </c>
      <c r="B198" s="7">
        <f t="shared" si="10"/>
        <v>4.3650636548150184E-7</v>
      </c>
      <c r="C198" s="7">
        <f t="shared" si="11"/>
        <v>-1.6332284680231623E-7</v>
      </c>
      <c r="D198" s="7">
        <f t="shared" si="12"/>
        <v>9.9999997268164815</v>
      </c>
    </row>
    <row r="199" spans="1:4" x14ac:dyDescent="0.3">
      <c r="A199" s="8">
        <f t="shared" si="14"/>
        <v>7.1787282564732796E-2</v>
      </c>
      <c r="B199" s="7">
        <f t="shared" si="10"/>
        <v>4.0325588499808017E-7</v>
      </c>
      <c r="C199" s="7">
        <f t="shared" si="11"/>
        <v>-1.641323628120972E-7</v>
      </c>
      <c r="D199" s="7">
        <f t="shared" si="12"/>
        <v>9.9999997608764772</v>
      </c>
    </row>
    <row r="200" spans="1:4" x14ac:dyDescent="0.3">
      <c r="A200" s="8">
        <f t="shared" si="14"/>
        <v>7.2192860432330155E-2</v>
      </c>
      <c r="B200" s="7">
        <f t="shared" si="10"/>
        <v>3.701127683629E-7</v>
      </c>
      <c r="C200" s="7">
        <f t="shared" si="11"/>
        <v>-1.6235291688815323E-7</v>
      </c>
      <c r="D200" s="7">
        <f t="shared" si="12"/>
        <v>9.999999792240148</v>
      </c>
    </row>
    <row r="201" spans="1:4" x14ac:dyDescent="0.3">
      <c r="A201" s="8">
        <f t="shared" si="14"/>
        <v>7.2598438299927515E-2</v>
      </c>
      <c r="B201" s="7">
        <f t="shared" si="10"/>
        <v>3.3755009196341471E-7</v>
      </c>
      <c r="C201" s="7">
        <f t="shared" si="11"/>
        <v>-1.5848616818914252E-7</v>
      </c>
      <c r="D201" s="7">
        <f t="shared" si="12"/>
        <v>9.9999998209360754</v>
      </c>
    </row>
    <row r="202" spans="1:4" x14ac:dyDescent="0.3">
      <c r="A202" s="8">
        <f t="shared" si="14"/>
        <v>7.3004016167524874E-2</v>
      </c>
      <c r="B202" s="7">
        <f t="shared" si="10"/>
        <v>3.0594546909567162E-7</v>
      </c>
      <c r="C202" s="7">
        <f t="shared" si="11"/>
        <v>-1.5297273492365093E-7</v>
      </c>
      <c r="D202" s="7">
        <f t="shared" si="12"/>
        <v>9.9999998470272651</v>
      </c>
    </row>
    <row r="203" spans="1:4" x14ac:dyDescent="0.3">
      <c r="A203" s="8">
        <f t="shared" si="14"/>
        <v>7.3409594035122233E-2</v>
      </c>
      <c r="B203" s="7">
        <f t="shared" si="10"/>
        <v>2.7559295768138261E-7</v>
      </c>
      <c r="C203" s="7">
        <f t="shared" si="11"/>
        <v>-1.4619683952332707E-7</v>
      </c>
      <c r="D203" s="7">
        <f t="shared" si="12"/>
        <v>9.9999998706038813</v>
      </c>
    </row>
    <row r="204" spans="1:4" x14ac:dyDescent="0.3">
      <c r="A204" s="8">
        <f t="shared" si="14"/>
        <v>7.3815171902719592E-2</v>
      </c>
      <c r="B204" s="7">
        <f t="shared" si="10"/>
        <v>2.4671402465936375E-7</v>
      </c>
      <c r="C204" s="7">
        <f t="shared" si="11"/>
        <v>-1.3849095203966044E-7</v>
      </c>
      <c r="D204" s="7">
        <f t="shared" si="12"/>
        <v>9.9999998917769268</v>
      </c>
    </row>
    <row r="205" spans="1:4" x14ac:dyDescent="0.3">
      <c r="A205" s="8">
        <f t="shared" si="14"/>
        <v>7.4220749770316952E-2</v>
      </c>
      <c r="B205" s="7">
        <f t="shared" si="10"/>
        <v>2.1946757717598459E-7</v>
      </c>
      <c r="C205" s="7">
        <f t="shared" si="11"/>
        <v>-1.3014034472291769E-7</v>
      </c>
      <c r="D205" s="7">
        <f t="shared" si="12"/>
        <v>9.9999999106727682</v>
      </c>
    </row>
    <row r="206" spans="1:4" x14ac:dyDescent="0.3">
      <c r="A206" s="8">
        <f t="shared" si="14"/>
        <v>7.4626327637914311E-2</v>
      </c>
      <c r="B206" s="7">
        <f t="shared" si="10"/>
        <v>1.9395908271607462E-7</v>
      </c>
      <c r="C206" s="7">
        <f t="shared" si="11"/>
        <v>-1.2138751870338638E-7</v>
      </c>
      <c r="D206" s="7">
        <f t="shared" si="12"/>
        <v>9.9999999274284352</v>
      </c>
    </row>
    <row r="207" spans="1:4" x14ac:dyDescent="0.3">
      <c r="A207" s="8">
        <f t="shared" si="14"/>
        <v>7.503190550551167E-2</v>
      </c>
      <c r="B207" s="7">
        <f t="shared" si="10"/>
        <v>1.702488097975929E-7</v>
      </c>
      <c r="C207" s="7">
        <f t="shared" si="11"/>
        <v>-1.1243643882608012E-7</v>
      </c>
      <c r="D207" s="7">
        <f t="shared" si="12"/>
        <v>9.9999999421876282</v>
      </c>
    </row>
    <row r="208" spans="1:4" x14ac:dyDescent="0.3">
      <c r="A208" s="8">
        <f t="shared" si="14"/>
        <v>7.5437483373109029E-2</v>
      </c>
      <c r="B208" s="7">
        <f t="shared" si="10"/>
        <v>1.483592281246929E-7</v>
      </c>
      <c r="C208" s="7">
        <f t="shared" si="11"/>
        <v>-1.0345658196797558E-7</v>
      </c>
      <c r="D208" s="7">
        <f t="shared" si="12"/>
        <v>9.9999999550973531</v>
      </c>
    </row>
    <row r="209" spans="1:4" x14ac:dyDescent="0.3">
      <c r="A209" s="8">
        <f t="shared" si="14"/>
        <v>7.5843061240706389E-2</v>
      </c>
      <c r="B209" s="7">
        <f t="shared" si="10"/>
        <v>1.2828161245218002E-7</v>
      </c>
      <c r="C209" s="7">
        <f t="shared" si="11"/>
        <v>-9.4586745547076134E-8</v>
      </c>
      <c r="D209" s="7">
        <f t="shared" si="12"/>
        <v>9.9999999663051327</v>
      </c>
    </row>
    <row r="210" spans="1:4" x14ac:dyDescent="0.3">
      <c r="A210" s="8">
        <f t="shared" si="14"/>
        <v>7.6248639108303748E-2</v>
      </c>
      <c r="B210" s="7">
        <f t="shared" si="10"/>
        <v>1.0998189813122716E-7</v>
      </c>
      <c r="C210" s="7">
        <f t="shared" si="11"/>
        <v>-8.5938612670588554E-8</v>
      </c>
      <c r="D210" s="7">
        <f t="shared" si="12"/>
        <v>9.9999999759567153</v>
      </c>
    </row>
    <row r="211" spans="1:4" x14ac:dyDescent="0.3">
      <c r="A211" s="8">
        <f t="shared" si="14"/>
        <v>7.6654216975901107E-2</v>
      </c>
      <c r="B211" s="7">
        <f t="shared" si="10"/>
        <v>9.3405838627628297E-8</v>
      </c>
      <c r="C211" s="7">
        <f t="shared" si="11"/>
        <v>-7.7600079251283205E-8</v>
      </c>
      <c r="D211" s="7">
        <f t="shared" si="12"/>
        <v>9.9999999841942397</v>
      </c>
    </row>
    <row r="212" spans="1:4" x14ac:dyDescent="0.3">
      <c r="A212" s="8">
        <f t="shared" si="14"/>
        <v>7.7059794843498466E-2</v>
      </c>
      <c r="B212" s="7">
        <f t="shared" si="10"/>
        <v>7.8483516451440127E-8</v>
      </c>
      <c r="C212" s="7">
        <f t="shared" si="11"/>
        <v>-6.9638293354046255E-8</v>
      </c>
      <c r="D212" s="7">
        <f t="shared" si="12"/>
        <v>9.9999999911547768</v>
      </c>
    </row>
    <row r="213" spans="1:4" x14ac:dyDescent="0.3">
      <c r="A213" s="8">
        <f t="shared" si="14"/>
        <v>7.7465372711095826E-2</v>
      </c>
      <c r="B213" s="7">
        <f t="shared" si="10"/>
        <v>6.5133259108979978E-8</v>
      </c>
      <c r="C213" s="7">
        <f t="shared" si="11"/>
        <v>-6.2102483155968002E-8</v>
      </c>
      <c r="D213" s="7">
        <f t="shared" si="12"/>
        <v>9.9999999969692244</v>
      </c>
    </row>
    <row r="214" spans="1:4" x14ac:dyDescent="0.3">
      <c r="A214" s="8">
        <f t="shared" si="14"/>
        <v>7.7870950578693185E-2</v>
      </c>
      <c r="B214" s="7">
        <f t="shared" ref="B214:B277" si="15">(($B$8/($B$6*$B$13))*EXP(-$B$11*A214)*SIN($B$13*A214))*$B$5</f>
        <v>5.3265011061318185E-8</v>
      </c>
      <c r="C214" s="7">
        <f t="shared" ref="C214:C277" si="16">$B$8-B214-D214</f>
        <v>-5.5026507794764257E-8</v>
      </c>
      <c r="D214" s="7">
        <f t="shared" ref="D214:D222" si="17">$B$8*(1-EXP(-$B$11*A214)*(COS($B$13*A214)+($B$11/$B$13)*SIN($B$13*A214)))</f>
        <v>10.000000001761498</v>
      </c>
    </row>
    <row r="215" spans="1:4" x14ac:dyDescent="0.3">
      <c r="A215" s="8">
        <f t="shared" ref="A215:A222" si="18">A214+$B$17</f>
        <v>7.8276528446290544E-2</v>
      </c>
      <c r="B215" s="7">
        <f t="shared" si="15"/>
        <v>4.2783211403561771E-8</v>
      </c>
      <c r="C215" s="7">
        <f t="shared" si="16"/>
        <v>-4.8431171961738073E-8</v>
      </c>
      <c r="D215" s="7">
        <f t="shared" si="17"/>
        <v>10.00000000564796</v>
      </c>
    </row>
    <row r="216" spans="1:4" x14ac:dyDescent="0.3">
      <c r="A216" s="8">
        <f t="shared" si="18"/>
        <v>7.8682106313887903E-2</v>
      </c>
      <c r="B216" s="7">
        <f t="shared" si="15"/>
        <v>3.3589225203311154E-8</v>
      </c>
      <c r="C216" s="7">
        <f t="shared" si="16"/>
        <v>-4.2326311344709211E-8</v>
      </c>
      <c r="D216" s="7">
        <f t="shared" si="17"/>
        <v>10.000000008737086</v>
      </c>
    </row>
    <row r="217" spans="1:4" x14ac:dyDescent="0.3">
      <c r="A217" s="8">
        <f t="shared" si="18"/>
        <v>7.9087684181485263E-2</v>
      </c>
      <c r="B217" s="7">
        <f t="shared" si="15"/>
        <v>2.558337427394564E-8</v>
      </c>
      <c r="C217" s="7">
        <f t="shared" si="16"/>
        <v>-3.6712675566263897E-8</v>
      </c>
      <c r="D217" s="7">
        <f t="shared" si="17"/>
        <v>10.000000011129302</v>
      </c>
    </row>
    <row r="218" spans="1:4" x14ac:dyDescent="0.3">
      <c r="A218" s="8">
        <f t="shared" si="18"/>
        <v>7.9493262049082622E-2</v>
      </c>
      <c r="B218" s="7">
        <f t="shared" si="15"/>
        <v>1.8666610712040836E-8</v>
      </c>
      <c r="C218" s="7">
        <f t="shared" si="16"/>
        <v>-3.1583565984760753E-8</v>
      </c>
      <c r="D218" s="7">
        <f t="shared" si="17"/>
        <v>10.000000012916955</v>
      </c>
    </row>
    <row r="219" spans="1:4" x14ac:dyDescent="0.3">
      <c r="A219" s="8">
        <f t="shared" si="18"/>
        <v>7.9898839916679981E-2</v>
      </c>
      <c r="B219" s="7">
        <f t="shared" si="15"/>
        <v>1.2741873886647505E-8</v>
      </c>
      <c r="C219" s="7">
        <f t="shared" si="16"/>
        <v>-2.692630296508014E-8</v>
      </c>
      <c r="D219" s="7">
        <f t="shared" si="17"/>
        <v>10.00000001418443</v>
      </c>
    </row>
    <row r="220" spans="1:4" x14ac:dyDescent="0.3">
      <c r="A220" s="8">
        <f t="shared" si="18"/>
        <v>8.030441778427734E-2</v>
      </c>
      <c r="B220" s="7">
        <f t="shared" si="15"/>
        <v>7.7151688065009241E-9</v>
      </c>
      <c r="C220" s="7">
        <f t="shared" si="16"/>
        <v>-2.2723527948187439E-8</v>
      </c>
      <c r="D220" s="7">
        <f t="shared" si="17"/>
        <v>10.000000015008359</v>
      </c>
    </row>
    <row r="221" spans="1:4" x14ac:dyDescent="0.3">
      <c r="A221" s="8">
        <f t="shared" si="18"/>
        <v>8.07099956518747E-2</v>
      </c>
      <c r="B221" s="7">
        <f t="shared" si="15"/>
        <v>3.4964009725608126E-9</v>
      </c>
      <c r="C221" s="7">
        <f t="shared" si="16"/>
        <v>-1.8954311897800835E-8</v>
      </c>
      <c r="D221" s="7">
        <f t="shared" si="17"/>
        <v>10.000000015457911</v>
      </c>
    </row>
    <row r="222" spans="1:4" x14ac:dyDescent="0.3">
      <c r="A222" s="8">
        <f t="shared" si="18"/>
        <v>8.1115573519472059E-2</v>
      </c>
      <c r="B222" s="7">
        <f t="shared" si="15"/>
        <v>1.5267438115016659E-21</v>
      </c>
      <c r="C222" s="7">
        <f t="shared" si="16"/>
        <v>-1.5595112756727758E-8</v>
      </c>
      <c r="D222" s="7">
        <f t="shared" si="17"/>
        <v>10.000000015595113</v>
      </c>
    </row>
  </sheetData>
  <mergeCells count="1">
    <mergeCell ref="A19:D19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RLC Transient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Niko Cornell</cp:lastModifiedBy>
  <cp:revision>1</cp:revision>
  <dcterms:created xsi:type="dcterms:W3CDTF">2026-09-17T00:04:25Z</dcterms:created>
  <dcterms:modified xsi:type="dcterms:W3CDTF">2026-09-17T00:06:18Z</dcterms:modified>
  <dc:language>en-US</dc:language>
</cp:coreProperties>
</file>