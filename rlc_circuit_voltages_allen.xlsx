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llenchiu/Documents/robocup/Fall2026_RobocupTraining/"/>
    </mc:Choice>
  </mc:AlternateContent>
  <xr:revisionPtr revIDLastSave="0" documentId="13_ncr:1_{46F0C297-B86B-FA49-B7F6-C5082D4ACE7C}" xr6:coauthVersionLast="47" xr6:coauthVersionMax="47" xr10:uidLastSave="{00000000-0000-0000-0000-000000000000}"/>
  <bookViews>
    <workbookView xWindow="0" yWindow="660" windowWidth="23260" windowHeight="13900" tabRatio="500" xr2:uid="{00000000-000D-0000-FFFF-FFFF00000000}"/>
  </bookViews>
  <sheets>
    <sheet name="RLC Transi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1" l="1"/>
  <c r="B11" i="1"/>
  <c r="B13" i="1" l="1"/>
  <c r="B14" i="1" s="1"/>
  <c r="B15" i="1" s="1"/>
  <c r="B17" i="1" s="1"/>
  <c r="A23" i="1" s="1"/>
  <c r="A24" i="1" s="1"/>
  <c r="B24" i="1" s="1"/>
  <c r="D22" i="1" l="1"/>
  <c r="B22" i="1"/>
  <c r="B23" i="1"/>
  <c r="C22" i="1"/>
  <c r="D23" i="1"/>
  <c r="D24" i="1"/>
  <c r="C24" i="1" s="1"/>
  <c r="A25" i="1"/>
  <c r="C23" i="1" l="1"/>
  <c r="A26" i="1"/>
  <c r="B25" i="1"/>
  <c r="D25" i="1"/>
  <c r="C25" i="1" l="1"/>
  <c r="A27" i="1"/>
  <c r="D26" i="1"/>
  <c r="B26" i="1"/>
  <c r="C26" i="1" s="1"/>
  <c r="A28" i="1" l="1"/>
  <c r="B27" i="1"/>
  <c r="D27" i="1"/>
  <c r="C27" i="1" l="1"/>
  <c r="A29" i="1"/>
  <c r="B28" i="1"/>
  <c r="D28" i="1"/>
  <c r="C28" i="1" l="1"/>
  <c r="A30" i="1"/>
  <c r="D29" i="1"/>
  <c r="B29" i="1"/>
  <c r="C29" i="1" l="1"/>
  <c r="A31" i="1"/>
  <c r="D30" i="1"/>
  <c r="B30" i="1"/>
  <c r="C30" i="1" s="1"/>
  <c r="A32" i="1" l="1"/>
  <c r="B31" i="1"/>
  <c r="D31" i="1"/>
  <c r="A33" i="1" l="1"/>
  <c r="D32" i="1"/>
  <c r="B32" i="1"/>
  <c r="C31" i="1"/>
  <c r="C32" i="1" l="1"/>
  <c r="A34" i="1"/>
  <c r="D33" i="1"/>
  <c r="B33" i="1"/>
  <c r="C33" i="1" s="1"/>
  <c r="A35" i="1" l="1"/>
  <c r="B34" i="1"/>
  <c r="D34" i="1"/>
  <c r="A36" i="1" l="1"/>
  <c r="D35" i="1"/>
  <c r="B35" i="1"/>
  <c r="C35" i="1" s="1"/>
  <c r="C34" i="1"/>
  <c r="A37" i="1" l="1"/>
  <c r="D36" i="1"/>
  <c r="B36" i="1"/>
  <c r="C36" i="1" s="1"/>
  <c r="A38" i="1" l="1"/>
  <c r="D37" i="1"/>
  <c r="B37" i="1"/>
  <c r="C37" i="1" s="1"/>
  <c r="A39" i="1" l="1"/>
  <c r="B38" i="1"/>
  <c r="D38" i="1"/>
  <c r="A40" i="1" l="1"/>
  <c r="D39" i="1"/>
  <c r="B39" i="1"/>
  <c r="C39" i="1" s="1"/>
  <c r="C38" i="1"/>
  <c r="A41" i="1" l="1"/>
  <c r="B40" i="1"/>
  <c r="D40" i="1"/>
  <c r="A42" i="1" l="1"/>
  <c r="B41" i="1"/>
  <c r="D41" i="1"/>
  <c r="C40" i="1"/>
  <c r="C41" i="1" l="1"/>
  <c r="A43" i="1"/>
  <c r="D42" i="1"/>
  <c r="B42" i="1"/>
  <c r="A44" i="1" l="1"/>
  <c r="B43" i="1"/>
  <c r="D43" i="1"/>
  <c r="C42" i="1"/>
  <c r="C43" i="1" l="1"/>
  <c r="A45" i="1"/>
  <c r="D44" i="1"/>
  <c r="B44" i="1"/>
  <c r="A46" i="1" l="1"/>
  <c r="D45" i="1"/>
  <c r="B45" i="1"/>
  <c r="C44" i="1"/>
  <c r="A47" i="1" l="1"/>
  <c r="B46" i="1"/>
  <c r="D46" i="1"/>
  <c r="C45" i="1"/>
  <c r="C46" i="1" l="1"/>
  <c r="A48" i="1"/>
  <c r="B47" i="1"/>
  <c r="D47" i="1"/>
  <c r="C47" i="1" l="1"/>
  <c r="A49" i="1"/>
  <c r="D48" i="1"/>
  <c r="B48" i="1"/>
  <c r="A50" i="1" l="1"/>
  <c r="D49" i="1"/>
  <c r="B49" i="1"/>
  <c r="C48" i="1"/>
  <c r="C49" i="1" l="1"/>
  <c r="A51" i="1"/>
  <c r="D50" i="1"/>
  <c r="B50" i="1"/>
  <c r="C50" i="1" l="1"/>
  <c r="A52" i="1"/>
  <c r="D51" i="1"/>
  <c r="B51" i="1"/>
  <c r="C51" i="1" s="1"/>
  <c r="A53" i="1" l="1"/>
  <c r="D52" i="1"/>
  <c r="B52" i="1"/>
  <c r="C52" i="1" s="1"/>
  <c r="A54" i="1" l="1"/>
  <c r="B53" i="1"/>
  <c r="D53" i="1"/>
  <c r="C53" i="1" l="1"/>
  <c r="A55" i="1"/>
  <c r="B54" i="1"/>
  <c r="D54" i="1"/>
  <c r="C54" i="1" l="1"/>
  <c r="A56" i="1"/>
  <c r="D55" i="1"/>
  <c r="B55" i="1"/>
  <c r="C55" i="1" l="1"/>
  <c r="A57" i="1"/>
  <c r="B56" i="1"/>
  <c r="D56" i="1"/>
  <c r="C56" i="1" l="1"/>
  <c r="A58" i="1"/>
  <c r="B57" i="1"/>
  <c r="D57" i="1"/>
  <c r="C57" i="1" l="1"/>
  <c r="A59" i="1"/>
  <c r="D58" i="1"/>
  <c r="B58" i="1"/>
  <c r="C58" i="1" l="1"/>
  <c r="A60" i="1"/>
  <c r="D59" i="1"/>
  <c r="B59" i="1"/>
  <c r="C59" i="1" l="1"/>
  <c r="A61" i="1"/>
  <c r="B60" i="1"/>
  <c r="D60" i="1"/>
  <c r="C60" i="1" l="1"/>
  <c r="A62" i="1"/>
  <c r="D61" i="1"/>
  <c r="B61" i="1"/>
  <c r="C61" i="1" l="1"/>
  <c r="A63" i="1"/>
  <c r="D62" i="1"/>
  <c r="B62" i="1"/>
  <c r="C62" i="1" s="1"/>
  <c r="A64" i="1" l="1"/>
  <c r="B63" i="1"/>
  <c r="D63" i="1"/>
  <c r="C63" i="1" l="1"/>
  <c r="A65" i="1"/>
  <c r="D64" i="1"/>
  <c r="B64" i="1"/>
  <c r="C64" i="1" l="1"/>
  <c r="A66" i="1"/>
  <c r="B65" i="1"/>
  <c r="D65" i="1"/>
  <c r="C65" i="1" l="1"/>
  <c r="A67" i="1"/>
  <c r="B66" i="1"/>
  <c r="D66" i="1"/>
  <c r="C66" i="1" l="1"/>
  <c r="A68" i="1"/>
  <c r="B67" i="1"/>
  <c r="D67" i="1"/>
  <c r="C67" i="1" l="1"/>
  <c r="A69" i="1"/>
  <c r="D68" i="1"/>
  <c r="B68" i="1"/>
  <c r="C68" i="1" s="1"/>
  <c r="A70" i="1" l="1"/>
  <c r="D69" i="1"/>
  <c r="B69" i="1"/>
  <c r="C69" i="1" s="1"/>
  <c r="A71" i="1" l="1"/>
  <c r="B70" i="1"/>
  <c r="D70" i="1"/>
  <c r="C70" i="1" l="1"/>
  <c r="A72" i="1"/>
  <c r="D71" i="1"/>
  <c r="B71" i="1"/>
  <c r="A73" i="1" l="1"/>
  <c r="D72" i="1"/>
  <c r="B72" i="1"/>
  <c r="C71" i="1"/>
  <c r="A74" i="1" l="1"/>
  <c r="B73" i="1"/>
  <c r="D73" i="1"/>
  <c r="C72" i="1"/>
  <c r="C73" i="1" l="1"/>
  <c r="A75" i="1"/>
  <c r="D74" i="1"/>
  <c r="B74" i="1"/>
  <c r="C74" i="1" l="1"/>
  <c r="A76" i="1"/>
  <c r="D75" i="1"/>
  <c r="B75" i="1"/>
  <c r="C75" i="1" s="1"/>
  <c r="A77" i="1" l="1"/>
  <c r="D76" i="1"/>
  <c r="B76" i="1"/>
  <c r="C76" i="1" s="1"/>
  <c r="A78" i="1" l="1"/>
  <c r="D77" i="1"/>
  <c r="B77" i="1"/>
  <c r="C77" i="1" l="1"/>
  <c r="A79" i="1"/>
  <c r="D78" i="1"/>
  <c r="B78" i="1"/>
  <c r="C78" i="1" s="1"/>
  <c r="A80" i="1" l="1"/>
  <c r="D79" i="1"/>
  <c r="B79" i="1"/>
  <c r="C79" i="1" s="1"/>
  <c r="A81" i="1" l="1"/>
  <c r="B80" i="1"/>
  <c r="D80" i="1"/>
  <c r="C80" i="1" l="1"/>
  <c r="A82" i="1"/>
  <c r="B81" i="1"/>
  <c r="D81" i="1"/>
  <c r="C81" i="1" l="1"/>
  <c r="A83" i="1"/>
  <c r="D82" i="1"/>
  <c r="B82" i="1"/>
  <c r="C82" i="1" s="1"/>
  <c r="A84" i="1" l="1"/>
  <c r="B83" i="1"/>
  <c r="D83" i="1"/>
  <c r="A85" i="1" l="1"/>
  <c r="D84" i="1"/>
  <c r="B84" i="1"/>
  <c r="C84" i="1" s="1"/>
  <c r="C83" i="1"/>
  <c r="A86" i="1" l="1"/>
  <c r="D85" i="1"/>
  <c r="B85" i="1"/>
  <c r="C85" i="1" l="1"/>
  <c r="A87" i="1"/>
  <c r="D86" i="1"/>
  <c r="B86" i="1"/>
  <c r="C86" i="1" s="1"/>
  <c r="A88" i="1" l="1"/>
  <c r="B87" i="1"/>
  <c r="D87" i="1"/>
  <c r="C87" i="1" l="1"/>
  <c r="A89" i="1"/>
  <c r="B88" i="1"/>
  <c r="D88" i="1"/>
  <c r="A90" i="1" l="1"/>
  <c r="D89" i="1"/>
  <c r="B89" i="1"/>
  <c r="C88" i="1"/>
  <c r="C89" i="1" l="1"/>
  <c r="A91" i="1"/>
  <c r="B90" i="1"/>
  <c r="D90" i="1"/>
  <c r="C90" i="1" l="1"/>
  <c r="A92" i="1"/>
  <c r="D91" i="1"/>
  <c r="B91" i="1"/>
  <c r="C91" i="1" l="1"/>
  <c r="A93" i="1"/>
  <c r="D92" i="1"/>
  <c r="B92" i="1"/>
  <c r="C92" i="1" s="1"/>
  <c r="A94" i="1" l="1"/>
  <c r="D93" i="1"/>
  <c r="B93" i="1"/>
  <c r="C93" i="1" l="1"/>
  <c r="A95" i="1"/>
  <c r="D94" i="1"/>
  <c r="B94" i="1"/>
  <c r="C94" i="1" l="1"/>
  <c r="A96" i="1"/>
  <c r="B95" i="1"/>
  <c r="D95" i="1"/>
  <c r="C95" i="1" l="1"/>
  <c r="A97" i="1"/>
  <c r="B96" i="1"/>
  <c r="D96" i="1"/>
  <c r="C96" i="1" l="1"/>
  <c r="A98" i="1"/>
  <c r="D97" i="1"/>
  <c r="B97" i="1"/>
  <c r="C97" i="1" s="1"/>
  <c r="A99" i="1" l="1"/>
  <c r="D98" i="1"/>
  <c r="B98" i="1"/>
  <c r="C98" i="1" l="1"/>
  <c r="A100" i="1"/>
  <c r="B99" i="1"/>
  <c r="D99" i="1"/>
  <c r="C99" i="1" l="1"/>
  <c r="A101" i="1"/>
  <c r="D100" i="1"/>
  <c r="B100" i="1"/>
  <c r="C100" i="1" l="1"/>
  <c r="A102" i="1"/>
  <c r="D101" i="1"/>
  <c r="B101" i="1"/>
  <c r="C101" i="1" l="1"/>
  <c r="A103" i="1"/>
  <c r="D102" i="1"/>
  <c r="B102" i="1"/>
  <c r="C102" i="1" l="1"/>
  <c r="A104" i="1"/>
  <c r="B103" i="1"/>
  <c r="D103" i="1"/>
  <c r="C103" i="1" l="1"/>
  <c r="A105" i="1"/>
  <c r="B104" i="1"/>
  <c r="D104" i="1"/>
  <c r="C104" i="1" l="1"/>
  <c r="A106" i="1"/>
  <c r="D105" i="1"/>
  <c r="B105" i="1"/>
  <c r="C105" i="1" l="1"/>
  <c r="A107" i="1"/>
  <c r="D106" i="1"/>
  <c r="B106" i="1"/>
  <c r="C106" i="1" s="1"/>
  <c r="A108" i="1" l="1"/>
  <c r="D107" i="1"/>
  <c r="B107" i="1"/>
  <c r="C107" i="1" l="1"/>
  <c r="A109" i="1"/>
  <c r="D108" i="1"/>
  <c r="B108" i="1"/>
  <c r="C108" i="1" s="1"/>
  <c r="A110" i="1" l="1"/>
  <c r="D109" i="1"/>
  <c r="B109" i="1"/>
  <c r="C109" i="1" s="1"/>
  <c r="A111" i="1" l="1"/>
  <c r="D110" i="1"/>
  <c r="B110" i="1"/>
  <c r="C110" i="1" l="1"/>
  <c r="A112" i="1"/>
  <c r="D111" i="1"/>
  <c r="B111" i="1"/>
  <c r="C111" i="1" s="1"/>
  <c r="A113" i="1" l="1"/>
  <c r="B112" i="1"/>
  <c r="D112" i="1"/>
  <c r="C112" i="1" l="1"/>
  <c r="A114" i="1"/>
  <c r="D113" i="1"/>
  <c r="B113" i="1"/>
  <c r="A115" i="1" l="1"/>
  <c r="B114" i="1"/>
  <c r="D114" i="1"/>
  <c r="C113" i="1"/>
  <c r="C114" i="1" l="1"/>
  <c r="A116" i="1"/>
  <c r="D115" i="1"/>
  <c r="B115" i="1"/>
  <c r="A117" i="1" l="1"/>
  <c r="D116" i="1"/>
  <c r="B116" i="1"/>
  <c r="C115" i="1"/>
  <c r="C116" i="1" l="1"/>
  <c r="A118" i="1"/>
  <c r="D117" i="1"/>
  <c r="B117" i="1"/>
  <c r="C117" i="1" s="1"/>
  <c r="A119" i="1" l="1"/>
  <c r="B118" i="1"/>
  <c r="D118" i="1"/>
  <c r="C118" i="1" l="1"/>
  <c r="A120" i="1"/>
  <c r="D119" i="1"/>
  <c r="B119" i="1"/>
  <c r="C119" i="1" l="1"/>
  <c r="A121" i="1"/>
  <c r="D120" i="1"/>
  <c r="B120" i="1"/>
  <c r="C120" i="1" l="1"/>
  <c r="A122" i="1"/>
  <c r="D121" i="1"/>
  <c r="B121" i="1"/>
  <c r="C121" i="1" s="1"/>
  <c r="A123" i="1" l="1"/>
  <c r="D122" i="1"/>
  <c r="B122" i="1"/>
  <c r="C122" i="1" l="1"/>
  <c r="A124" i="1"/>
  <c r="B123" i="1"/>
  <c r="D123" i="1"/>
  <c r="A125" i="1" l="1"/>
  <c r="D124" i="1"/>
  <c r="B124" i="1"/>
  <c r="C123" i="1"/>
  <c r="A126" i="1" l="1"/>
  <c r="B125" i="1"/>
  <c r="D125" i="1"/>
  <c r="C124" i="1"/>
  <c r="A127" i="1" l="1"/>
  <c r="D126" i="1"/>
  <c r="B126" i="1"/>
  <c r="C125" i="1"/>
  <c r="C126" i="1" l="1"/>
  <c r="A128" i="1"/>
  <c r="D127" i="1"/>
  <c r="B127" i="1"/>
  <c r="C127" i="1" l="1"/>
  <c r="A129" i="1"/>
  <c r="B128" i="1"/>
  <c r="D128" i="1"/>
  <c r="C128" i="1" l="1"/>
  <c r="A130" i="1"/>
  <c r="D129" i="1"/>
  <c r="B129" i="1"/>
  <c r="C129" i="1" l="1"/>
  <c r="A131" i="1"/>
  <c r="B130" i="1"/>
  <c r="D130" i="1"/>
  <c r="C130" i="1" l="1"/>
  <c r="A132" i="1"/>
  <c r="D131" i="1"/>
  <c r="B131" i="1"/>
  <c r="C131" i="1" s="1"/>
  <c r="A133" i="1" l="1"/>
  <c r="B132" i="1"/>
  <c r="D132" i="1"/>
  <c r="C132" i="1" l="1"/>
  <c r="A134" i="1"/>
  <c r="D133" i="1"/>
  <c r="B133" i="1"/>
  <c r="C133" i="1" l="1"/>
  <c r="A135" i="1"/>
  <c r="D134" i="1"/>
  <c r="B134" i="1"/>
  <c r="C134" i="1" l="1"/>
  <c r="A136" i="1"/>
  <c r="D135" i="1"/>
  <c r="B135" i="1"/>
  <c r="C135" i="1" s="1"/>
  <c r="A137" i="1" l="1"/>
  <c r="B136" i="1"/>
  <c r="D136" i="1"/>
  <c r="A138" i="1" l="1"/>
  <c r="D137" i="1"/>
  <c r="B137" i="1"/>
  <c r="C136" i="1"/>
  <c r="C137" i="1" l="1"/>
  <c r="A139" i="1"/>
  <c r="B138" i="1"/>
  <c r="D138" i="1"/>
  <c r="C138" i="1" l="1"/>
  <c r="A140" i="1"/>
  <c r="D139" i="1"/>
  <c r="B139" i="1"/>
  <c r="C139" i="1" s="1"/>
  <c r="A141" i="1" l="1"/>
  <c r="B140" i="1"/>
  <c r="D140" i="1"/>
  <c r="C140" i="1" l="1"/>
  <c r="A142" i="1"/>
  <c r="D141" i="1"/>
  <c r="B141" i="1"/>
  <c r="C141" i="1" s="1"/>
  <c r="A143" i="1" l="1"/>
  <c r="D142" i="1"/>
  <c r="B142" i="1"/>
  <c r="C142" i="1" s="1"/>
  <c r="A144" i="1" l="1"/>
  <c r="B143" i="1"/>
  <c r="D143" i="1"/>
  <c r="C143" i="1" l="1"/>
  <c r="A145" i="1"/>
  <c r="B144" i="1"/>
  <c r="D144" i="1"/>
  <c r="C144" i="1" l="1"/>
  <c r="A146" i="1"/>
  <c r="D145" i="1"/>
  <c r="B145" i="1"/>
  <c r="C145" i="1" s="1"/>
  <c r="A147" i="1" l="1"/>
  <c r="B146" i="1"/>
  <c r="D146" i="1"/>
  <c r="C146" i="1" l="1"/>
  <c r="A148" i="1"/>
  <c r="B147" i="1"/>
  <c r="D147" i="1"/>
  <c r="C147" i="1" l="1"/>
  <c r="A149" i="1"/>
  <c r="B148" i="1"/>
  <c r="D148" i="1"/>
  <c r="C148" i="1" l="1"/>
  <c r="A150" i="1"/>
  <c r="D149" i="1"/>
  <c r="B149" i="1"/>
  <c r="C149" i="1" s="1"/>
  <c r="A151" i="1" l="1"/>
  <c r="D150" i="1"/>
  <c r="B150" i="1"/>
  <c r="C150" i="1" l="1"/>
  <c r="A152" i="1"/>
  <c r="B151" i="1"/>
  <c r="D151" i="1"/>
  <c r="C151" i="1" l="1"/>
  <c r="A153" i="1"/>
  <c r="D152" i="1"/>
  <c r="B152" i="1"/>
  <c r="C152" i="1" s="1"/>
  <c r="A154" i="1" l="1"/>
  <c r="D153" i="1"/>
  <c r="B153" i="1"/>
  <c r="C153" i="1" l="1"/>
  <c r="A155" i="1"/>
  <c r="D154" i="1"/>
  <c r="B154" i="1"/>
  <c r="C154" i="1" s="1"/>
  <c r="A156" i="1" l="1"/>
  <c r="D155" i="1"/>
  <c r="B155" i="1"/>
  <c r="C155" i="1" l="1"/>
  <c r="A157" i="1"/>
  <c r="B156" i="1"/>
  <c r="D156" i="1"/>
  <c r="C156" i="1" l="1"/>
  <c r="A158" i="1"/>
  <c r="B157" i="1"/>
  <c r="D157" i="1"/>
  <c r="C157" i="1" l="1"/>
  <c r="A159" i="1"/>
  <c r="D158" i="1"/>
  <c r="B158" i="1"/>
  <c r="C158" i="1" s="1"/>
  <c r="A160" i="1" l="1"/>
  <c r="B159" i="1"/>
  <c r="D159" i="1"/>
  <c r="C159" i="1" l="1"/>
  <c r="A161" i="1"/>
  <c r="D160" i="1"/>
  <c r="B160" i="1"/>
  <c r="C160" i="1" l="1"/>
  <c r="A162" i="1"/>
  <c r="B161" i="1"/>
  <c r="D161" i="1"/>
  <c r="C161" i="1" l="1"/>
  <c r="A163" i="1"/>
  <c r="D162" i="1"/>
  <c r="B162" i="1"/>
  <c r="C162" i="1" l="1"/>
  <c r="A164" i="1"/>
  <c r="D163" i="1"/>
  <c r="B163" i="1"/>
  <c r="C163" i="1" s="1"/>
  <c r="A165" i="1" l="1"/>
  <c r="B164" i="1"/>
  <c r="D164" i="1"/>
  <c r="C164" i="1" l="1"/>
  <c r="A166" i="1"/>
  <c r="D165" i="1"/>
  <c r="B165" i="1"/>
  <c r="C165" i="1" l="1"/>
  <c r="A167" i="1"/>
  <c r="D166" i="1"/>
  <c r="B166" i="1"/>
  <c r="C166" i="1" l="1"/>
  <c r="A168" i="1"/>
  <c r="B167" i="1"/>
  <c r="D167" i="1"/>
  <c r="C167" i="1" l="1"/>
  <c r="A169" i="1"/>
  <c r="D168" i="1"/>
  <c r="B168" i="1"/>
  <c r="C168" i="1" l="1"/>
  <c r="A170" i="1"/>
  <c r="B169" i="1"/>
  <c r="D169" i="1"/>
  <c r="C169" i="1" l="1"/>
  <c r="A171" i="1"/>
  <c r="D170" i="1"/>
  <c r="B170" i="1"/>
  <c r="C170" i="1" l="1"/>
  <c r="A172" i="1"/>
  <c r="B171" i="1"/>
  <c r="D171" i="1"/>
  <c r="C171" i="1" l="1"/>
  <c r="A173" i="1"/>
  <c r="D172" i="1"/>
  <c r="B172" i="1"/>
  <c r="C172" i="1" l="1"/>
  <c r="A174" i="1"/>
  <c r="D173" i="1"/>
  <c r="B173" i="1"/>
  <c r="C173" i="1" l="1"/>
  <c r="A175" i="1"/>
  <c r="B174" i="1"/>
  <c r="D174" i="1"/>
  <c r="C174" i="1" l="1"/>
  <c r="A176" i="1"/>
  <c r="B175" i="1"/>
  <c r="D175" i="1"/>
  <c r="C175" i="1" l="1"/>
  <c r="A177" i="1"/>
  <c r="B176" i="1"/>
  <c r="D176" i="1"/>
  <c r="C176" i="1" l="1"/>
  <c r="A178" i="1"/>
  <c r="B177" i="1"/>
  <c r="D177" i="1"/>
  <c r="C177" i="1" l="1"/>
  <c r="A179" i="1"/>
  <c r="D178" i="1"/>
  <c r="B178" i="1"/>
  <c r="C178" i="1" s="1"/>
  <c r="A180" i="1" l="1"/>
  <c r="D179" i="1"/>
  <c r="B179" i="1"/>
  <c r="C179" i="1" l="1"/>
  <c r="A181" i="1"/>
  <c r="D180" i="1"/>
  <c r="B180" i="1"/>
  <c r="C180" i="1" s="1"/>
  <c r="A182" i="1" l="1"/>
  <c r="D181" i="1"/>
  <c r="B181" i="1"/>
  <c r="C181" i="1" l="1"/>
  <c r="A183" i="1"/>
  <c r="B182" i="1"/>
  <c r="D182" i="1"/>
  <c r="C182" i="1" l="1"/>
  <c r="A184" i="1"/>
  <c r="D183" i="1"/>
  <c r="B183" i="1"/>
  <c r="C183" i="1" l="1"/>
  <c r="A185" i="1"/>
  <c r="D184" i="1"/>
  <c r="B184" i="1"/>
  <c r="C184" i="1" s="1"/>
  <c r="A186" i="1" l="1"/>
  <c r="B185" i="1"/>
  <c r="D185" i="1"/>
  <c r="C185" i="1" l="1"/>
  <c r="A187" i="1"/>
  <c r="D186" i="1"/>
  <c r="B186" i="1"/>
  <c r="C186" i="1" l="1"/>
  <c r="A188" i="1"/>
  <c r="D187" i="1"/>
  <c r="B187" i="1"/>
  <c r="C187" i="1" l="1"/>
  <c r="A189" i="1"/>
  <c r="B188" i="1"/>
  <c r="D188" i="1"/>
  <c r="C188" i="1" l="1"/>
  <c r="A190" i="1"/>
  <c r="B189" i="1"/>
  <c r="D189" i="1"/>
  <c r="C189" i="1" l="1"/>
  <c r="A191" i="1"/>
  <c r="B190" i="1"/>
  <c r="D190" i="1"/>
  <c r="C190" i="1" l="1"/>
  <c r="A192" i="1"/>
  <c r="D191" i="1"/>
  <c r="B191" i="1"/>
  <c r="C191" i="1" s="1"/>
  <c r="A193" i="1" l="1"/>
  <c r="D192" i="1"/>
  <c r="B192" i="1"/>
  <c r="C192" i="1" l="1"/>
  <c r="A194" i="1"/>
  <c r="B193" i="1"/>
  <c r="D193" i="1"/>
  <c r="C193" i="1" l="1"/>
  <c r="A195" i="1"/>
  <c r="D194" i="1"/>
  <c r="B194" i="1"/>
  <c r="C194" i="1" l="1"/>
  <c r="A196" i="1"/>
  <c r="D195" i="1"/>
  <c r="B195" i="1"/>
  <c r="C195" i="1" l="1"/>
  <c r="A197" i="1"/>
  <c r="D196" i="1"/>
  <c r="B196" i="1"/>
  <c r="C196" i="1" l="1"/>
  <c r="A198" i="1"/>
  <c r="D197" i="1"/>
  <c r="B197" i="1"/>
  <c r="C197" i="1" l="1"/>
  <c r="A199" i="1"/>
  <c r="B198" i="1"/>
  <c r="D198" i="1"/>
  <c r="C198" i="1" l="1"/>
  <c r="A200" i="1"/>
  <c r="D199" i="1"/>
  <c r="B199" i="1"/>
  <c r="C199" i="1" s="1"/>
  <c r="A201" i="1" l="1"/>
  <c r="D200" i="1"/>
  <c r="B200" i="1"/>
  <c r="C200" i="1" l="1"/>
  <c r="A202" i="1"/>
  <c r="D201" i="1"/>
  <c r="B201" i="1"/>
  <c r="C201" i="1" l="1"/>
  <c r="A203" i="1"/>
  <c r="D202" i="1"/>
  <c r="B202" i="1"/>
  <c r="C202" i="1" l="1"/>
  <c r="A204" i="1"/>
  <c r="D203" i="1"/>
  <c r="B203" i="1"/>
  <c r="C203" i="1" l="1"/>
  <c r="A205" i="1"/>
  <c r="B204" i="1"/>
  <c r="D204" i="1"/>
  <c r="C204" i="1" l="1"/>
  <c r="A206" i="1"/>
  <c r="D205" i="1"/>
  <c r="B205" i="1"/>
  <c r="C205" i="1" s="1"/>
  <c r="A207" i="1" l="1"/>
  <c r="D206" i="1"/>
  <c r="B206" i="1"/>
  <c r="C206" i="1" l="1"/>
  <c r="A208" i="1"/>
  <c r="D207" i="1"/>
  <c r="B207" i="1"/>
  <c r="C207" i="1" s="1"/>
  <c r="A209" i="1" l="1"/>
  <c r="B208" i="1"/>
  <c r="D208" i="1"/>
  <c r="C208" i="1" l="1"/>
  <c r="A210" i="1"/>
  <c r="D209" i="1"/>
  <c r="B209" i="1"/>
  <c r="C209" i="1" l="1"/>
  <c r="A211" i="1"/>
  <c r="D210" i="1"/>
  <c r="B210" i="1"/>
  <c r="C210" i="1" s="1"/>
  <c r="A212" i="1" l="1"/>
  <c r="D211" i="1"/>
  <c r="B211" i="1"/>
  <c r="C211" i="1" l="1"/>
  <c r="A213" i="1"/>
  <c r="D212" i="1"/>
  <c r="B212" i="1"/>
  <c r="C212" i="1" l="1"/>
  <c r="A214" i="1"/>
  <c r="D213" i="1"/>
  <c r="B213" i="1"/>
  <c r="C213" i="1" s="1"/>
  <c r="A215" i="1" l="1"/>
  <c r="D214" i="1"/>
  <c r="B214" i="1"/>
  <c r="C214" i="1" l="1"/>
  <c r="A216" i="1"/>
  <c r="B215" i="1"/>
  <c r="D215" i="1"/>
  <c r="C215" i="1" l="1"/>
  <c r="A217" i="1"/>
  <c r="D216" i="1"/>
  <c r="B216" i="1"/>
  <c r="C216" i="1" s="1"/>
  <c r="A218" i="1" l="1"/>
  <c r="B217" i="1"/>
  <c r="D217" i="1"/>
  <c r="C217" i="1" l="1"/>
  <c r="A219" i="1"/>
  <c r="D218" i="1"/>
  <c r="B218" i="1"/>
  <c r="C218" i="1" s="1"/>
  <c r="A220" i="1" l="1"/>
  <c r="B219" i="1"/>
  <c r="D219" i="1"/>
  <c r="C219" i="1" l="1"/>
  <c r="A221" i="1"/>
  <c r="B220" i="1"/>
  <c r="D220" i="1"/>
  <c r="C220" i="1" l="1"/>
  <c r="A222" i="1"/>
  <c r="B221" i="1"/>
  <c r="D221" i="1"/>
  <c r="C221" i="1" l="1"/>
  <c r="B222" i="1"/>
  <c r="D222" i="1"/>
  <c r="C222" i="1" l="1"/>
</calcChain>
</file>

<file path=xl/sharedStrings.xml><?xml version="1.0" encoding="utf-8"?>
<sst xmlns="http://schemas.openxmlformats.org/spreadsheetml/2006/main" count="20" uniqueCount="20">
  <si>
    <t>Series RLC Circuit — Step Response (Underdamped)</t>
  </si>
  <si>
    <t>Voltage across R, L, and C vs. time after a step input V0 is applied at t = 0</t>
  </si>
  <si>
    <t>Circuit Parameters (editable inputs)</t>
  </si>
  <si>
    <t>Resistance, R (ohm)</t>
  </si>
  <si>
    <t>Inductance, L (H)</t>
  </si>
  <si>
    <t>Capacitance, C (F)</t>
  </si>
  <si>
    <t>Step input voltage, V0 (V)</t>
  </si>
  <si>
    <t>Derived Quantities</t>
  </si>
  <si>
    <t>Damping factor, alpha = R/(2L)  (1/s)</t>
  </si>
  <si>
    <t>Natural (resonant) frequency, omega0 = 1/sqrt(LC)  (rad/s)</t>
  </si>
  <si>
    <t>Damped natural frequency, omega_d = sqrt(omega0^2 - alpha^2)  (rad/s)</t>
  </si>
  <si>
    <t>Damped period, T_d = 2*PI()/omega_d  (s)</t>
  </si>
  <si>
    <t>Simulation end time, t_end = 2.5 * T_d  (s)</t>
  </si>
  <si>
    <t>Number of time steps, N</t>
  </si>
  <si>
    <t>Time step, dt = t_end / N  (s)</t>
  </si>
  <si>
    <t>Model: series RLC circuit, capacitor initially uncharged, zero initial current, step voltage V0 applied at t=0. Underdamped case assumed (R &lt; 2*sqrt(L/C)); check alpha &lt; omega0 above. KVL: V0 = vR(t) + vL(t) + vC(t) at every instant.</t>
  </si>
  <si>
    <t>Time (s)</t>
  </si>
  <si>
    <t>V_R - Voltage across Resistor (V)</t>
  </si>
  <si>
    <t>V_L - Voltage across Inductor (V)</t>
  </si>
  <si>
    <t>V_C - Voltage across Capacitor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</si>
</sst>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9"/>
      <color rgb="FF66666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9E1F2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3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Voltage Across R, L, and C vs.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'RLC Transient'!$B$21</c:f>
              <c:strCache>
                <c:ptCount val="1"/>
                <c:pt idx="0">
                  <c:v>V_R - Voltage across Resistor (V)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7.8539816339744887E-4</c:v>
                </c:pt>
                <c:pt idx="2">
                  <c:v>1.5707963267948977E-3</c:v>
                </c:pt>
                <c:pt idx="3">
                  <c:v>2.3561944901923466E-3</c:v>
                </c:pt>
                <c:pt idx="4">
                  <c:v>3.1415926535897955E-3</c:v>
                </c:pt>
                <c:pt idx="5">
                  <c:v>3.9269908169872443E-3</c:v>
                </c:pt>
                <c:pt idx="6">
                  <c:v>4.7123889803846932E-3</c:v>
                </c:pt>
                <c:pt idx="7">
                  <c:v>5.4977871437821421E-3</c:v>
                </c:pt>
                <c:pt idx="8">
                  <c:v>6.283185307179591E-3</c:v>
                </c:pt>
                <c:pt idx="9">
                  <c:v>7.0685834705770398E-3</c:v>
                </c:pt>
                <c:pt idx="10">
                  <c:v>7.8539816339744887E-3</c:v>
                </c:pt>
                <c:pt idx="11">
                  <c:v>8.6393797973719384E-3</c:v>
                </c:pt>
                <c:pt idx="12">
                  <c:v>9.4247779607693864E-3</c:v>
                </c:pt>
                <c:pt idx="13">
                  <c:v>1.0210176124166834E-2</c:v>
                </c:pt>
                <c:pt idx="14">
                  <c:v>1.0995574287564282E-2</c:v>
                </c:pt>
                <c:pt idx="15">
                  <c:v>1.178097245096173E-2</c:v>
                </c:pt>
                <c:pt idx="16">
                  <c:v>1.2566370614359178E-2</c:v>
                </c:pt>
                <c:pt idx="17">
                  <c:v>1.3351768777756626E-2</c:v>
                </c:pt>
                <c:pt idx="18">
                  <c:v>1.4137166941154074E-2</c:v>
                </c:pt>
                <c:pt idx="19">
                  <c:v>1.4922565104551522E-2</c:v>
                </c:pt>
                <c:pt idx="20">
                  <c:v>1.570796326794897E-2</c:v>
                </c:pt>
                <c:pt idx="21">
                  <c:v>1.6493361431346418E-2</c:v>
                </c:pt>
                <c:pt idx="22">
                  <c:v>1.7278759594743866E-2</c:v>
                </c:pt>
                <c:pt idx="23">
                  <c:v>1.8064157758141314E-2</c:v>
                </c:pt>
                <c:pt idx="24">
                  <c:v>1.8849555921538762E-2</c:v>
                </c:pt>
                <c:pt idx="25">
                  <c:v>1.963495408493621E-2</c:v>
                </c:pt>
                <c:pt idx="26">
                  <c:v>2.0420352248333658E-2</c:v>
                </c:pt>
                <c:pt idx="27">
                  <c:v>2.1205750411731106E-2</c:v>
                </c:pt>
                <c:pt idx="28">
                  <c:v>2.1991148575128554E-2</c:v>
                </c:pt>
                <c:pt idx="29">
                  <c:v>2.2776546738526002E-2</c:v>
                </c:pt>
                <c:pt idx="30">
                  <c:v>2.356194490192345E-2</c:v>
                </c:pt>
                <c:pt idx="31">
                  <c:v>2.4347343065320898E-2</c:v>
                </c:pt>
                <c:pt idx="32">
                  <c:v>2.5132741228718346E-2</c:v>
                </c:pt>
                <c:pt idx="33">
                  <c:v>2.5918139392115794E-2</c:v>
                </c:pt>
                <c:pt idx="34">
                  <c:v>2.6703537555513242E-2</c:v>
                </c:pt>
                <c:pt idx="35">
                  <c:v>2.748893571891069E-2</c:v>
                </c:pt>
                <c:pt idx="36">
                  <c:v>2.8274333882308138E-2</c:v>
                </c:pt>
                <c:pt idx="37">
                  <c:v>2.9059732045705586E-2</c:v>
                </c:pt>
                <c:pt idx="38">
                  <c:v>2.9845130209103034E-2</c:v>
                </c:pt>
                <c:pt idx="39">
                  <c:v>3.0630528372500482E-2</c:v>
                </c:pt>
                <c:pt idx="40">
                  <c:v>3.1415926535897934E-2</c:v>
                </c:pt>
                <c:pt idx="41">
                  <c:v>3.2201324699295382E-2</c:v>
                </c:pt>
                <c:pt idx="42">
                  <c:v>3.298672286269283E-2</c:v>
                </c:pt>
                <c:pt idx="43">
                  <c:v>3.3772121026090278E-2</c:v>
                </c:pt>
                <c:pt idx="44">
                  <c:v>3.4557519189487726E-2</c:v>
                </c:pt>
                <c:pt idx="45">
                  <c:v>3.5342917352885174E-2</c:v>
                </c:pt>
                <c:pt idx="46">
                  <c:v>3.6128315516282622E-2</c:v>
                </c:pt>
                <c:pt idx="47">
                  <c:v>3.691371367968007E-2</c:v>
                </c:pt>
                <c:pt idx="48">
                  <c:v>3.7699111843077518E-2</c:v>
                </c:pt>
                <c:pt idx="49">
                  <c:v>3.8484510006474966E-2</c:v>
                </c:pt>
                <c:pt idx="50">
                  <c:v>3.9269908169872414E-2</c:v>
                </c:pt>
                <c:pt idx="51">
                  <c:v>4.0055306333269862E-2</c:v>
                </c:pt>
                <c:pt idx="52">
                  <c:v>4.084070449666731E-2</c:v>
                </c:pt>
                <c:pt idx="53">
                  <c:v>4.1626102660064758E-2</c:v>
                </c:pt>
                <c:pt idx="54">
                  <c:v>4.2411500823462206E-2</c:v>
                </c:pt>
                <c:pt idx="55">
                  <c:v>4.3196898986859654E-2</c:v>
                </c:pt>
                <c:pt idx="56">
                  <c:v>4.3982297150257102E-2</c:v>
                </c:pt>
                <c:pt idx="57">
                  <c:v>4.476769531365455E-2</c:v>
                </c:pt>
                <c:pt idx="58">
                  <c:v>4.5553093477051998E-2</c:v>
                </c:pt>
                <c:pt idx="59">
                  <c:v>4.6338491640449446E-2</c:v>
                </c:pt>
                <c:pt idx="60">
                  <c:v>4.7123889803846894E-2</c:v>
                </c:pt>
                <c:pt idx="61">
                  <c:v>4.7909287967244342E-2</c:v>
                </c:pt>
                <c:pt idx="62">
                  <c:v>4.869468613064179E-2</c:v>
                </c:pt>
                <c:pt idx="63">
                  <c:v>4.9480084294039238E-2</c:v>
                </c:pt>
                <c:pt idx="64">
                  <c:v>5.0265482457436686E-2</c:v>
                </c:pt>
                <c:pt idx="65">
                  <c:v>5.1050880620834134E-2</c:v>
                </c:pt>
                <c:pt idx="66">
                  <c:v>5.1836278784231582E-2</c:v>
                </c:pt>
                <c:pt idx="67">
                  <c:v>5.262167694762903E-2</c:v>
                </c:pt>
                <c:pt idx="68">
                  <c:v>5.3407075111026478E-2</c:v>
                </c:pt>
                <c:pt idx="69">
                  <c:v>5.4192473274423926E-2</c:v>
                </c:pt>
                <c:pt idx="70">
                  <c:v>5.4977871437821374E-2</c:v>
                </c:pt>
                <c:pt idx="71">
                  <c:v>5.5763269601218822E-2</c:v>
                </c:pt>
                <c:pt idx="72">
                  <c:v>5.654866776461627E-2</c:v>
                </c:pt>
                <c:pt idx="73">
                  <c:v>5.7334065928013718E-2</c:v>
                </c:pt>
                <c:pt idx="74">
                  <c:v>5.8119464091411166E-2</c:v>
                </c:pt>
                <c:pt idx="75">
                  <c:v>5.8904862254808614E-2</c:v>
                </c:pt>
                <c:pt idx="76">
                  <c:v>5.9690260418206062E-2</c:v>
                </c:pt>
                <c:pt idx="77">
                  <c:v>6.047565858160351E-2</c:v>
                </c:pt>
                <c:pt idx="78">
                  <c:v>6.1261056745000958E-2</c:v>
                </c:pt>
                <c:pt idx="79">
                  <c:v>6.2046454908398406E-2</c:v>
                </c:pt>
                <c:pt idx="80">
                  <c:v>6.2831853071795854E-2</c:v>
                </c:pt>
                <c:pt idx="81">
                  <c:v>6.3617251235193309E-2</c:v>
                </c:pt>
                <c:pt idx="82">
                  <c:v>6.4402649398590764E-2</c:v>
                </c:pt>
                <c:pt idx="83">
                  <c:v>6.5188047561988219E-2</c:v>
                </c:pt>
                <c:pt idx="84">
                  <c:v>6.5973445725385674E-2</c:v>
                </c:pt>
                <c:pt idx="85">
                  <c:v>6.6758843888783129E-2</c:v>
                </c:pt>
                <c:pt idx="86">
                  <c:v>6.7544242052180584E-2</c:v>
                </c:pt>
                <c:pt idx="87">
                  <c:v>6.8329640215578039E-2</c:v>
                </c:pt>
                <c:pt idx="88">
                  <c:v>6.9115038378975494E-2</c:v>
                </c:pt>
                <c:pt idx="89">
                  <c:v>6.9900436542372948E-2</c:v>
                </c:pt>
                <c:pt idx="90">
                  <c:v>7.0685834705770403E-2</c:v>
                </c:pt>
                <c:pt idx="91">
                  <c:v>7.1471232869167858E-2</c:v>
                </c:pt>
                <c:pt idx="92">
                  <c:v>7.2256631032565313E-2</c:v>
                </c:pt>
                <c:pt idx="93">
                  <c:v>7.3042029195962768E-2</c:v>
                </c:pt>
                <c:pt idx="94">
                  <c:v>7.3827427359360223E-2</c:v>
                </c:pt>
                <c:pt idx="95">
                  <c:v>7.4612825522757678E-2</c:v>
                </c:pt>
                <c:pt idx="96">
                  <c:v>7.5398223686155133E-2</c:v>
                </c:pt>
                <c:pt idx="97">
                  <c:v>7.6183621849552588E-2</c:v>
                </c:pt>
                <c:pt idx="98">
                  <c:v>7.6969020012950043E-2</c:v>
                </c:pt>
                <c:pt idx="99">
                  <c:v>7.7754418176347498E-2</c:v>
                </c:pt>
                <c:pt idx="100">
                  <c:v>7.8539816339744953E-2</c:v>
                </c:pt>
                <c:pt idx="101">
                  <c:v>7.9325214503142408E-2</c:v>
                </c:pt>
                <c:pt idx="102">
                  <c:v>8.0110612666539863E-2</c:v>
                </c:pt>
                <c:pt idx="103">
                  <c:v>8.0896010829937318E-2</c:v>
                </c:pt>
                <c:pt idx="104">
                  <c:v>8.1681408993334773E-2</c:v>
                </c:pt>
                <c:pt idx="105">
                  <c:v>8.2466807156732228E-2</c:v>
                </c:pt>
                <c:pt idx="106">
                  <c:v>8.3252205320129682E-2</c:v>
                </c:pt>
                <c:pt idx="107">
                  <c:v>8.4037603483527137E-2</c:v>
                </c:pt>
                <c:pt idx="108">
                  <c:v>8.4823001646924592E-2</c:v>
                </c:pt>
                <c:pt idx="109">
                  <c:v>8.5608399810322047E-2</c:v>
                </c:pt>
                <c:pt idx="110">
                  <c:v>8.6393797973719502E-2</c:v>
                </c:pt>
                <c:pt idx="111">
                  <c:v>8.7179196137116957E-2</c:v>
                </c:pt>
                <c:pt idx="112">
                  <c:v>8.7964594300514412E-2</c:v>
                </c:pt>
                <c:pt idx="113">
                  <c:v>8.8749992463911867E-2</c:v>
                </c:pt>
                <c:pt idx="114">
                  <c:v>8.9535390627309322E-2</c:v>
                </c:pt>
                <c:pt idx="115">
                  <c:v>9.0320788790706777E-2</c:v>
                </c:pt>
                <c:pt idx="116">
                  <c:v>9.1106186954104232E-2</c:v>
                </c:pt>
                <c:pt idx="117">
                  <c:v>9.1891585117501687E-2</c:v>
                </c:pt>
                <c:pt idx="118">
                  <c:v>9.2676983280899142E-2</c:v>
                </c:pt>
                <c:pt idx="119">
                  <c:v>9.3462381444296597E-2</c:v>
                </c:pt>
                <c:pt idx="120">
                  <c:v>9.4247779607694052E-2</c:v>
                </c:pt>
                <c:pt idx="121">
                  <c:v>9.5033177771091507E-2</c:v>
                </c:pt>
                <c:pt idx="122">
                  <c:v>9.5818575934488961E-2</c:v>
                </c:pt>
                <c:pt idx="123">
                  <c:v>9.6603974097886416E-2</c:v>
                </c:pt>
                <c:pt idx="124">
                  <c:v>9.7389372261283871E-2</c:v>
                </c:pt>
                <c:pt idx="125">
                  <c:v>9.8174770424681326E-2</c:v>
                </c:pt>
                <c:pt idx="126">
                  <c:v>9.8960168588078781E-2</c:v>
                </c:pt>
                <c:pt idx="127">
                  <c:v>9.9745566751476236E-2</c:v>
                </c:pt>
                <c:pt idx="128">
                  <c:v>0.10053096491487369</c:v>
                </c:pt>
                <c:pt idx="129">
                  <c:v>0.10131636307827115</c:v>
                </c:pt>
                <c:pt idx="130">
                  <c:v>0.1021017612416686</c:v>
                </c:pt>
                <c:pt idx="131">
                  <c:v>0.10288715940506606</c:v>
                </c:pt>
                <c:pt idx="132">
                  <c:v>0.10367255756846351</c:v>
                </c:pt>
                <c:pt idx="133">
                  <c:v>0.10445795573186097</c:v>
                </c:pt>
                <c:pt idx="134">
                  <c:v>0.10524335389525842</c:v>
                </c:pt>
                <c:pt idx="135">
                  <c:v>0.10602875205865588</c:v>
                </c:pt>
                <c:pt idx="136">
                  <c:v>0.10681415022205333</c:v>
                </c:pt>
                <c:pt idx="137">
                  <c:v>0.10759954838545079</c:v>
                </c:pt>
                <c:pt idx="138">
                  <c:v>0.10838494654884824</c:v>
                </c:pt>
                <c:pt idx="139">
                  <c:v>0.1091703447122457</c:v>
                </c:pt>
                <c:pt idx="140">
                  <c:v>0.10995574287564315</c:v>
                </c:pt>
                <c:pt idx="141">
                  <c:v>0.11074114103904061</c:v>
                </c:pt>
                <c:pt idx="142">
                  <c:v>0.11152653920243806</c:v>
                </c:pt>
                <c:pt idx="143">
                  <c:v>0.11231193736583552</c:v>
                </c:pt>
                <c:pt idx="144">
                  <c:v>0.11309733552923297</c:v>
                </c:pt>
                <c:pt idx="145">
                  <c:v>0.11388273369263043</c:v>
                </c:pt>
                <c:pt idx="146">
                  <c:v>0.11466813185602788</c:v>
                </c:pt>
                <c:pt idx="147">
                  <c:v>0.11545353001942533</c:v>
                </c:pt>
                <c:pt idx="148">
                  <c:v>0.11623892818282279</c:v>
                </c:pt>
                <c:pt idx="149">
                  <c:v>0.11702432634622024</c:v>
                </c:pt>
                <c:pt idx="150">
                  <c:v>0.1178097245096177</c:v>
                </c:pt>
                <c:pt idx="151">
                  <c:v>0.11859512267301515</c:v>
                </c:pt>
                <c:pt idx="152">
                  <c:v>0.11938052083641261</c:v>
                </c:pt>
                <c:pt idx="153">
                  <c:v>0.12016591899981006</c:v>
                </c:pt>
                <c:pt idx="154">
                  <c:v>0.12095131716320752</c:v>
                </c:pt>
                <c:pt idx="155">
                  <c:v>0.12173671532660497</c:v>
                </c:pt>
                <c:pt idx="156">
                  <c:v>0.12252211349000243</c:v>
                </c:pt>
                <c:pt idx="157">
                  <c:v>0.12330751165339988</c:v>
                </c:pt>
                <c:pt idx="158">
                  <c:v>0.12409290981679734</c:v>
                </c:pt>
                <c:pt idx="159">
                  <c:v>0.12487830798019479</c:v>
                </c:pt>
                <c:pt idx="160">
                  <c:v>0.12566370614359224</c:v>
                </c:pt>
                <c:pt idx="161">
                  <c:v>0.12644910430698969</c:v>
                </c:pt>
                <c:pt idx="162">
                  <c:v>0.12723450247038715</c:v>
                </c:pt>
                <c:pt idx="163">
                  <c:v>0.1280199006337846</c:v>
                </c:pt>
                <c:pt idx="164">
                  <c:v>0.12880529879718206</c:v>
                </c:pt>
                <c:pt idx="165">
                  <c:v>0.12959069696057951</c:v>
                </c:pt>
                <c:pt idx="166">
                  <c:v>0.13037609512397696</c:v>
                </c:pt>
                <c:pt idx="167">
                  <c:v>0.13116149328737442</c:v>
                </c:pt>
                <c:pt idx="168">
                  <c:v>0.13194689145077187</c:v>
                </c:pt>
                <c:pt idx="169">
                  <c:v>0.13273228961416933</c:v>
                </c:pt>
                <c:pt idx="170">
                  <c:v>0.13351768777756678</c:v>
                </c:pt>
                <c:pt idx="171">
                  <c:v>0.13430308594096424</c:v>
                </c:pt>
                <c:pt idx="172">
                  <c:v>0.13508848410436169</c:v>
                </c:pt>
                <c:pt idx="173">
                  <c:v>0.13587388226775915</c:v>
                </c:pt>
                <c:pt idx="174">
                  <c:v>0.1366592804311566</c:v>
                </c:pt>
                <c:pt idx="175">
                  <c:v>0.13744467859455406</c:v>
                </c:pt>
                <c:pt idx="176">
                  <c:v>0.13823007675795151</c:v>
                </c:pt>
                <c:pt idx="177">
                  <c:v>0.13901547492134897</c:v>
                </c:pt>
                <c:pt idx="178">
                  <c:v>0.13980087308474642</c:v>
                </c:pt>
                <c:pt idx="179">
                  <c:v>0.14058627124814388</c:v>
                </c:pt>
                <c:pt idx="180">
                  <c:v>0.14137166941154133</c:v>
                </c:pt>
                <c:pt idx="181">
                  <c:v>0.14215706757493879</c:v>
                </c:pt>
                <c:pt idx="182">
                  <c:v>0.14294246573833624</c:v>
                </c:pt>
                <c:pt idx="183">
                  <c:v>0.1437278639017337</c:v>
                </c:pt>
                <c:pt idx="184">
                  <c:v>0.14451326206513115</c:v>
                </c:pt>
                <c:pt idx="185">
                  <c:v>0.14529866022852861</c:v>
                </c:pt>
                <c:pt idx="186">
                  <c:v>0.14608405839192606</c:v>
                </c:pt>
                <c:pt idx="187">
                  <c:v>0.14686945655532352</c:v>
                </c:pt>
                <c:pt idx="188">
                  <c:v>0.14765485471872097</c:v>
                </c:pt>
                <c:pt idx="189">
                  <c:v>0.14844025288211843</c:v>
                </c:pt>
                <c:pt idx="190">
                  <c:v>0.14922565104551588</c:v>
                </c:pt>
                <c:pt idx="191">
                  <c:v>0.15001104920891334</c:v>
                </c:pt>
                <c:pt idx="192">
                  <c:v>0.15079644737231079</c:v>
                </c:pt>
                <c:pt idx="193">
                  <c:v>0.15158184553570825</c:v>
                </c:pt>
                <c:pt idx="194">
                  <c:v>0.1523672436991057</c:v>
                </c:pt>
                <c:pt idx="195">
                  <c:v>0.15315264186250316</c:v>
                </c:pt>
                <c:pt idx="196">
                  <c:v>0.15393804002590061</c:v>
                </c:pt>
                <c:pt idx="197">
                  <c:v>0.15472343818929807</c:v>
                </c:pt>
                <c:pt idx="198">
                  <c:v>0.15550883635269552</c:v>
                </c:pt>
                <c:pt idx="199">
                  <c:v>0.15629423451609298</c:v>
                </c:pt>
                <c:pt idx="200">
                  <c:v>0.15707963267949043</c:v>
                </c:pt>
              </c:numCache>
            </c:numRef>
          </c:cat>
          <c:val>
            <c:numRef>
              <c:f>'RLC Transient'!$B$22:$B$222</c:f>
              <c:numCache>
                <c:formatCode>0.0000</c:formatCode>
                <c:ptCount val="201"/>
                <c:pt idx="0">
                  <c:v>0</c:v>
                </c:pt>
                <c:pt idx="1">
                  <c:v>3.7193437806475163</c:v>
                </c:pt>
                <c:pt idx="2">
                  <c:v>5.8590504648429169</c:v>
                </c:pt>
                <c:pt idx="3">
                  <c:v>6.9079919719293121</c:v>
                </c:pt>
                <c:pt idx="4">
                  <c:v>7.2247148097871889</c:v>
                </c:pt>
                <c:pt idx="5">
                  <c:v>7.0688664749722543</c:v>
                </c:pt>
                <c:pt idx="6">
                  <c:v>6.6256525243472533</c:v>
                </c:pt>
                <c:pt idx="7">
                  <c:v>6.0247463384321795</c:v>
                </c:pt>
                <c:pt idx="8">
                  <c:v>5.3548107104535392</c:v>
                </c:pt>
                <c:pt idx="9">
                  <c:v>4.6745695694869029</c:v>
                </c:pt>
                <c:pt idx="10">
                  <c:v>4.021184382496398</c:v>
                </c:pt>
                <c:pt idx="11">
                  <c:v>3.4165381444712404</c:v>
                </c:pt>
                <c:pt idx="12">
                  <c:v>2.8719057060478326</c:v>
                </c:pt>
                <c:pt idx="13">
                  <c:v>2.3913882553710346</c:v>
                </c:pt>
                <c:pt idx="14">
                  <c:v>1.974408276716265</c:v>
                </c:pt>
                <c:pt idx="15">
                  <c:v>1.6174959362474002</c:v>
                </c:pt>
                <c:pt idx="16">
                  <c:v>1.3155457361185772</c:v>
                </c:pt>
                <c:pt idx="17">
                  <c:v>1.0626809981553511</c:v>
                </c:pt>
                <c:pt idx="18">
                  <c:v>0.8528312383864618</c:v>
                </c:pt>
                <c:pt idx="19">
                  <c:v>0.68010206491414649</c:v>
                </c:pt>
                <c:pt idx="20">
                  <c:v>0.53899746126776515</c:v>
                </c:pt>
                <c:pt idx="21">
                  <c:v>0.42453904670251563</c:v>
                </c:pt>
                <c:pt idx="22">
                  <c:v>0.33231519033889456</c:v>
                </c:pt>
                <c:pt idx="23">
                  <c:v>0.25848393457731106</c:v>
                </c:pt>
                <c:pt idx="24">
                  <c:v>0.19974694188578754</c:v>
                </c:pt>
                <c:pt idx="25">
                  <c:v>0.1533066285188005</c:v>
                </c:pt>
                <c:pt idx="26">
                  <c:v>0.11681490078689986</c:v>
                </c:pt>
                <c:pt idx="27">
                  <c:v>8.8319158091979516E-2</c:v>
                </c:pt>
                <c:pt idx="28">
                  <c:v>6.6209232248425384E-2</c:v>
                </c:pt>
                <c:pt idx="29">
                  <c:v>4.9167507889994209E-2</c:v>
                </c:pt>
                <c:pt idx="30">
                  <c:v>3.6123469557585872E-2</c:v>
                </c:pt>
                <c:pt idx="31">
                  <c:v>2.6213236375427568E-2</c:v>
                </c:pt>
                <c:pt idx="32">
                  <c:v>1.8744190372566215E-2</c:v>
                </c:pt>
                <c:pt idx="33">
                  <c:v>1.3164515385774541E-2</c:v>
                </c:pt>
                <c:pt idx="34">
                  <c:v>9.0372919611493366E-3</c:v>
                </c:pt>
                <c:pt idx="35">
                  <c:v>6.0187039569613455E-3</c:v>
                </c:pt>
                <c:pt idx="36">
                  <c:v>3.839878290412501E-3</c:v>
                </c:pt>
                <c:pt idx="37">
                  <c:v>2.2918813041028045E-3</c:v>
                </c:pt>
                <c:pt idx="38">
                  <c:v>1.2134198168123878E-3</c:v>
                </c:pt>
                <c:pt idx="39">
                  <c:v>4.8083238858894297E-4</c:v>
                </c:pt>
                <c:pt idx="40">
                  <c:v>9.1940388336499396E-18</c:v>
                </c:pt>
                <c:pt idx="41">
                  <c:v>-3.0014924877635817E-4</c:v>
                </c:pt>
                <c:pt idx="42">
                  <c:v>-4.7282254593288518E-4</c:v>
                </c:pt>
                <c:pt idx="43">
                  <c:v>-5.5747161951422738E-4</c:v>
                </c:pt>
                <c:pt idx="44">
                  <c:v>-5.8303099973285759E-4</c:v>
                </c:pt>
                <c:pt idx="45">
                  <c:v>-5.7045411429915832E-4</c:v>
                </c:pt>
                <c:pt idx="46">
                  <c:v>-5.3468696230329156E-4</c:v>
                </c:pt>
                <c:pt idx="47">
                  <c:v>-4.8619412299493429E-4</c:v>
                </c:pt>
                <c:pt idx="48">
                  <c:v>-4.3213064101389965E-4</c:v>
                </c:pt>
                <c:pt idx="49">
                  <c:v>-3.7723550910641931E-4</c:v>
                </c:pt>
                <c:pt idx="50">
                  <c:v>-3.2450763972870266E-4</c:v>
                </c:pt>
                <c:pt idx="51">
                  <c:v>-2.7571298001937252E-4</c:v>
                </c:pt>
                <c:pt idx="52">
                  <c:v>-2.317614049854652E-4</c:v>
                </c:pt>
                <c:pt idx="53">
                  <c:v>-1.929838785317351E-4</c:v>
                </c:pt>
                <c:pt idx="54">
                  <c:v>-1.5933379541781923E-4</c:v>
                </c:pt>
                <c:pt idx="55">
                  <c:v>-1.3053114172709341E-4</c:v>
                </c:pt>
                <c:pt idx="56">
                  <c:v>-1.0616390624644053E-4</c:v>
                </c:pt>
                <c:pt idx="57">
                  <c:v>-8.5757843882266718E-5</c:v>
                </c:pt>
                <c:pt idx="58">
                  <c:v>-6.8823069506673083E-5</c:v>
                </c:pt>
                <c:pt idx="59">
                  <c:v>-5.4883908537139764E-5</c:v>
                </c:pt>
                <c:pt idx="60">
                  <c:v>-4.3496835095927683E-5</c:v>
                </c:pt>
                <c:pt idx="61">
                  <c:v>-3.4260096258650113E-5</c:v>
                </c:pt>
                <c:pt idx="62">
                  <c:v>-2.681767554163281E-5</c:v>
                </c:pt>
                <c:pt idx="63">
                  <c:v>-2.0859528820063258E-5</c:v>
                </c:pt>
                <c:pt idx="64">
                  <c:v>-1.6119481846326788E-5</c:v>
                </c:pt>
                <c:pt idx="65">
                  <c:v>-1.2371770961797145E-5</c:v>
                </c:pt>
                <c:pt idx="66">
                  <c:v>-9.4269061385258511E-6</c:v>
                </c:pt>
                <c:pt idx="67">
                  <c:v>-7.1273134502382388E-6</c:v>
                </c:pt>
                <c:pt idx="68">
                  <c:v>-5.3430531011482119E-6</c:v>
                </c:pt>
                <c:pt idx="69">
                  <c:v>-3.9677941668566931E-6</c:v>
                </c:pt>
                <c:pt idx="70">
                  <c:v>-2.9151465662627839E-6</c:v>
                </c:pt>
                <c:pt idx="71">
                  <c:v>-2.1153955294533781E-6</c:v>
                </c:pt>
                <c:pt idx="72">
                  <c:v>-1.5126471203120545E-6</c:v>
                </c:pt>
                <c:pt idx="73">
                  <c:v>-1.0623700406788666E-6</c:v>
                </c:pt>
                <c:pt idx="74">
                  <c:v>-7.2930510140674895E-7</c:v>
                </c:pt>
                <c:pt idx="75">
                  <c:v>-4.8570650572526969E-7</c:v>
                </c:pt>
                <c:pt idx="76">
                  <c:v>-3.0987632556497895E-7</c:v>
                </c:pt>
                <c:pt idx="77">
                  <c:v>-1.8495371556949974E-7</c:v>
                </c:pt>
                <c:pt idx="78">
                  <c:v>-9.7922393827009291E-8</c:v>
                </c:pt>
                <c:pt idx="79">
                  <c:v>-3.8802941791306389E-8</c:v>
                </c:pt>
                <c:pt idx="80">
                  <c:v>-2.1780110671315251E-21</c:v>
                </c:pt>
                <c:pt idx="81">
                  <c:v>2.4221899575340678E-8</c:v>
                </c:pt>
                <c:pt idx="82">
                  <c:v>3.81565513531464E-8</c:v>
                </c:pt>
                <c:pt idx="83">
                  <c:v>4.4987690753934239E-8</c:v>
                </c:pt>
                <c:pt idx="84">
                  <c:v>4.7050320406973673E-8</c:v>
                </c:pt>
                <c:pt idx="85">
                  <c:v>4.6035371819937142E-8</c:v>
                </c:pt>
                <c:pt idx="86">
                  <c:v>4.3148979909007047E-8</c:v>
                </c:pt>
                <c:pt idx="87">
                  <c:v>3.9235631171208142E-8</c:v>
                </c:pt>
                <c:pt idx="88">
                  <c:v>3.4872734257167824E-8</c:v>
                </c:pt>
                <c:pt idx="89">
                  <c:v>3.0442723595275913E-8</c:v>
                </c:pt>
                <c:pt idx="90">
                  <c:v>2.6187609973984141E-8</c:v>
                </c:pt>
                <c:pt idx="91">
                  <c:v>2.2249904475434087E-8</c:v>
                </c:pt>
                <c:pt idx="92">
                  <c:v>1.8703033573742663E-8</c:v>
                </c:pt>
                <c:pt idx="93">
                  <c:v>1.5573705896356956E-8</c:v>
                </c:pt>
                <c:pt idx="94">
                  <c:v>1.2858160422863328E-8</c:v>
                </c:pt>
                <c:pt idx="95">
                  <c:v>1.0533800165277249E-8</c:v>
                </c:pt>
                <c:pt idx="96">
                  <c:v>8.5673760174665794E-9</c:v>
                </c:pt>
                <c:pt idx="97">
                  <c:v>6.9206166291682287E-9</c:v>
                </c:pt>
                <c:pt idx="98">
                  <c:v>5.5539885068958715E-9</c:v>
                </c:pt>
                <c:pt idx="99">
                  <c:v>4.429104941319741E-9</c:v>
                </c:pt>
                <c:pt idx="100">
                  <c:v>3.510173608076328E-9</c:v>
                </c:pt>
                <c:pt idx="101">
                  <c:v>2.7647732399851518E-9</c:v>
                </c:pt>
                <c:pt idx="102">
                  <c:v>2.1641734785666331E-9</c:v>
                </c:pt>
                <c:pt idx="103">
                  <c:v>1.6833539125228881E-9</c:v>
                </c:pt>
                <c:pt idx="104">
                  <c:v>1.3008344084817875E-9</c:v>
                </c:pt>
                <c:pt idx="105">
                  <c:v>9.9839594810728E-10</c:v>
                </c:pt>
                <c:pt idx="106">
                  <c:v>7.6074677755953627E-10</c:v>
                </c:pt>
                <c:pt idx="107">
                  <c:v>5.7517075700653393E-10</c:v>
                </c:pt>
                <c:pt idx="108">
                  <c:v>4.3118180761515103E-10</c:v>
                </c:pt>
                <c:pt idx="109">
                  <c:v>3.2019907508358113E-10</c:v>
                </c:pt>
                <c:pt idx="110">
                  <c:v>2.3525092154411847E-10</c:v>
                </c:pt>
                <c:pt idx="111">
                  <c:v>1.7071139869725276E-10</c:v>
                </c:pt>
                <c:pt idx="112">
                  <c:v>1.2206989286328243E-10</c:v>
                </c:pt>
                <c:pt idx="113">
                  <c:v>8.5732749763921253E-11</c:v>
                </c:pt>
                <c:pt idx="114">
                  <c:v>5.885456984508052E-11</c:v>
                </c:pt>
                <c:pt idx="115">
                  <c:v>3.9196280692782965E-11</c:v>
                </c:pt>
                <c:pt idx="116">
                  <c:v>2.500686997954905E-11</c:v>
                </c:pt>
                <c:pt idx="117">
                  <c:v>1.4925675619291544E-11</c:v>
                </c:pt>
                <c:pt idx="118">
                  <c:v>7.9022899411672477E-12</c:v>
                </c:pt>
                <c:pt idx="119">
                  <c:v>3.1313786828658446E-12</c:v>
                </c:pt>
                <c:pt idx="120">
                  <c:v>-6.045657208487161E-25</c:v>
                </c:pt>
                <c:pt idx="121">
                  <c:v>-1.9546956103668143E-12</c:v>
                </c:pt>
                <c:pt idx="122">
                  <c:v>-3.0792152863457098E-12</c:v>
                </c:pt>
                <c:pt idx="123">
                  <c:v>-3.6304849404446229E-12</c:v>
                </c:pt>
                <c:pt idx="124">
                  <c:v>-3.7969381583710023E-12</c:v>
                </c:pt>
                <c:pt idx="125">
                  <c:v>-3.7150322970384344E-12</c:v>
                </c:pt>
                <c:pt idx="126">
                  <c:v>-3.4821018623075138E-12</c:v>
                </c:pt>
                <c:pt idx="127">
                  <c:v>-3.1662965070827796E-12</c:v>
                </c:pt>
                <c:pt idx="128">
                  <c:v>-2.8142128309107548E-12</c:v>
                </c:pt>
                <c:pt idx="129">
                  <c:v>-2.4567131076647744E-12</c:v>
                </c:pt>
                <c:pt idx="130">
                  <c:v>-2.1133274912196971E-12</c:v>
                </c:pt>
                <c:pt idx="131">
                  <c:v>-1.7955565571527839E-12</c:v>
                </c:pt>
                <c:pt idx="132">
                  <c:v>-1.5093257865021524E-12</c:v>
                </c:pt>
                <c:pt idx="133">
                  <c:v>-1.2567905526177357E-12</c:v>
                </c:pt>
                <c:pt idx="134">
                  <c:v>-1.0376473429665863E-12</c:v>
                </c:pt>
                <c:pt idx="135">
                  <c:v>-8.5007259151980799E-13</c:v>
                </c:pt>
                <c:pt idx="136">
                  <c:v>-6.9138311145289962E-13</c:v>
                </c:pt>
                <c:pt idx="137">
                  <c:v>-5.5849042326286338E-13</c:v>
                </c:pt>
                <c:pt idx="138">
                  <c:v>-4.4820419309747995E-13</c:v>
                </c:pt>
                <c:pt idx="139">
                  <c:v>-3.5742663203272697E-13</c:v>
                </c:pt>
                <c:pt idx="140">
                  <c:v>-2.8326931675975308E-13</c:v>
                </c:pt>
                <c:pt idx="141">
                  <c:v>-2.2311586665807114E-13</c:v>
                </c:pt>
                <c:pt idx="142">
                  <c:v>-1.7464775565876098E-13</c:v>
                </c:pt>
                <c:pt idx="143">
                  <c:v>-1.3584584864067043E-13</c:v>
                </c:pt>
                <c:pt idx="144">
                  <c:v>-1.0497670920332342E-13</c:v>
                </c:pt>
                <c:pt idx="145">
                  <c:v>-8.057007135639727E-14</c:v>
                </c:pt>
                <c:pt idx="146">
                  <c:v>-6.1391897942212635E-14</c:v>
                </c:pt>
                <c:pt idx="147">
                  <c:v>-4.6416002610969918E-14</c:v>
                </c:pt>
                <c:pt idx="148">
                  <c:v>-3.4796163859631287E-14</c:v>
                </c:pt>
                <c:pt idx="149">
                  <c:v>-2.5839910885700126E-14</c:v>
                </c:pt>
                <c:pt idx="150">
                  <c:v>-1.8984635876577988E-14</c:v>
                </c:pt>
                <c:pt idx="151">
                  <c:v>-1.3776327518618704E-14</c:v>
                </c:pt>
                <c:pt idx="152">
                  <c:v>-9.8509814639245612E-15</c:v>
                </c:pt>
                <c:pt idx="153">
                  <c:v>-6.9185915459232489E-15</c:v>
                </c:pt>
                <c:pt idx="154">
                  <c:v>-4.7495353933051776E-15</c:v>
                </c:pt>
                <c:pt idx="155">
                  <c:v>-3.1631209424573943E-15</c:v>
                </c:pt>
                <c:pt idx="156">
                  <c:v>-2.0180423432926237E-15</c:v>
                </c:pt>
                <c:pt idx="157">
                  <c:v>-1.2044948218874668E-15</c:v>
                </c:pt>
                <c:pt idx="158">
                  <c:v>-6.3771098595272317E-16</c:v>
                </c:pt>
                <c:pt idx="159">
                  <c:v>-2.5270074903711515E-16</c:v>
                </c:pt>
                <c:pt idx="160">
                  <c:v>1.0724015098363555E-28</c:v>
                </c:pt>
                <c:pt idx="161">
                  <c:v>1.5774299275342835E-16</c:v>
                </c:pt>
                <c:pt idx="162">
                  <c:v>2.4849118810322281E-16</c:v>
                </c:pt>
                <c:pt idx="163">
                  <c:v>2.9297838324014344E-16</c:v>
                </c:pt>
                <c:pt idx="164">
                  <c:v>3.0641107762481972E-16</c:v>
                </c:pt>
                <c:pt idx="165">
                  <c:v>2.9980131412909556E-16</c:v>
                </c:pt>
                <c:pt idx="166">
                  <c:v>2.810039404188674E-16</c:v>
                </c:pt>
                <c:pt idx="167">
                  <c:v>2.5551860060611054E-16</c:v>
                </c:pt>
                <c:pt idx="168">
                  <c:v>2.2710561779464887E-16</c:v>
                </c:pt>
                <c:pt idx="169">
                  <c:v>1.9825556259718103E-16</c:v>
                </c:pt>
                <c:pt idx="170">
                  <c:v>1.7054450900948237E-16</c:v>
                </c:pt>
                <c:pt idx="171">
                  <c:v>1.4490054793241879E-16</c:v>
                </c:pt>
                <c:pt idx="172">
                  <c:v>1.2180186282713683E-16</c:v>
                </c:pt>
                <c:pt idx="173">
                  <c:v>1.0142239128316167E-16</c:v>
                </c:pt>
                <c:pt idx="174">
                  <c:v>8.3737639985506369E-17</c:v>
                </c:pt>
                <c:pt idx="175">
                  <c:v>6.86004480353829E-17</c:v>
                </c:pt>
                <c:pt idx="176">
                  <c:v>5.5794283550501399E-17</c:v>
                </c:pt>
                <c:pt idx="177">
                  <c:v>4.5069907724944879E-17</c:v>
                </c:pt>
                <c:pt idx="178">
                  <c:v>3.6169862155951725E-17</c:v>
                </c:pt>
                <c:pt idx="179">
                  <c:v>2.8844156771817753E-17</c:v>
                </c:pt>
                <c:pt idx="180">
                  <c:v>2.2859697204980177E-17</c:v>
                </c:pt>
                <c:pt idx="181">
                  <c:v>1.8005342801585378E-17</c:v>
                </c:pt>
                <c:pt idx="182">
                  <c:v>1.4093989626397251E-17</c:v>
                </c:pt>
                <c:pt idx="183">
                  <c:v>1.0962694449229849E-17</c:v>
                </c:pt>
                <c:pt idx="184">
                  <c:v>8.4715697888256624E-18</c:v>
                </c:pt>
                <c:pt idx="185">
                  <c:v>6.501965889065732E-18</c:v>
                </c:pt>
                <c:pt idx="186">
                  <c:v>4.9542965466615093E-18</c:v>
                </c:pt>
                <c:pt idx="187">
                  <c:v>3.7457490182469136E-18</c:v>
                </c:pt>
                <c:pt idx="188">
                  <c:v>2.8080336367692573E-18</c:v>
                </c:pt>
                <c:pt idx="189">
                  <c:v>2.085268342535467E-18</c:v>
                </c:pt>
                <c:pt idx="190">
                  <c:v>1.5320509564875916E-18</c:v>
                </c:pt>
                <c:pt idx="191">
                  <c:v>1.1117429846429282E-18</c:v>
                </c:pt>
                <c:pt idx="192">
                  <c:v>7.94969451732635E-19</c:v>
                </c:pt>
                <c:pt idx="193">
                  <c:v>5.5832700002193149E-19</c:v>
                </c:pt>
                <c:pt idx="194">
                  <c:v>3.8328521492276901E-19</c:v>
                </c:pt>
                <c:pt idx="195">
                  <c:v>2.5526233407280585E-19</c:v>
                </c:pt>
                <c:pt idx="196">
                  <c:v>1.6285504354013812E-19</c:v>
                </c:pt>
                <c:pt idx="197">
                  <c:v>9.7202151042231319E-20</c:v>
                </c:pt>
                <c:pt idx="198">
                  <c:v>5.1462968915656757E-20</c:v>
                </c:pt>
                <c:pt idx="199">
                  <c:v>2.0392828536942345E-20</c:v>
                </c:pt>
                <c:pt idx="200">
                  <c:v>-1.3371275759578274E-32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9C-4EB9-AA98-992E28CC9579}"/>
            </c:ext>
          </c:extLst>
        </c:ser>
        <c:ser>
          <c:idx val="1"/>
          <c:order val="1"/>
          <c:tx>
            <c:strRef>
              <c:f>'RLC Transient'!$C$21</c:f>
              <c:strCache>
                <c:ptCount val="1"/>
                <c:pt idx="0">
                  <c:v>V_L - Voltage across Inductor (V)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7.8539816339744887E-4</c:v>
                </c:pt>
                <c:pt idx="2">
                  <c:v>1.5707963267948977E-3</c:v>
                </c:pt>
                <c:pt idx="3">
                  <c:v>2.3561944901923466E-3</c:v>
                </c:pt>
                <c:pt idx="4">
                  <c:v>3.1415926535897955E-3</c:v>
                </c:pt>
                <c:pt idx="5">
                  <c:v>3.9269908169872443E-3</c:v>
                </c:pt>
                <c:pt idx="6">
                  <c:v>4.7123889803846932E-3</c:v>
                </c:pt>
                <c:pt idx="7">
                  <c:v>5.4977871437821421E-3</c:v>
                </c:pt>
                <c:pt idx="8">
                  <c:v>6.283185307179591E-3</c:v>
                </c:pt>
                <c:pt idx="9">
                  <c:v>7.0685834705770398E-3</c:v>
                </c:pt>
                <c:pt idx="10">
                  <c:v>7.8539816339744887E-3</c:v>
                </c:pt>
                <c:pt idx="11">
                  <c:v>8.6393797973719384E-3</c:v>
                </c:pt>
                <c:pt idx="12">
                  <c:v>9.4247779607693864E-3</c:v>
                </c:pt>
                <c:pt idx="13">
                  <c:v>1.0210176124166834E-2</c:v>
                </c:pt>
                <c:pt idx="14">
                  <c:v>1.0995574287564282E-2</c:v>
                </c:pt>
                <c:pt idx="15">
                  <c:v>1.178097245096173E-2</c:v>
                </c:pt>
                <c:pt idx="16">
                  <c:v>1.2566370614359178E-2</c:v>
                </c:pt>
                <c:pt idx="17">
                  <c:v>1.3351768777756626E-2</c:v>
                </c:pt>
                <c:pt idx="18">
                  <c:v>1.4137166941154074E-2</c:v>
                </c:pt>
                <c:pt idx="19">
                  <c:v>1.4922565104551522E-2</c:v>
                </c:pt>
                <c:pt idx="20">
                  <c:v>1.570796326794897E-2</c:v>
                </c:pt>
                <c:pt idx="21">
                  <c:v>1.6493361431346418E-2</c:v>
                </c:pt>
                <c:pt idx="22">
                  <c:v>1.7278759594743866E-2</c:v>
                </c:pt>
                <c:pt idx="23">
                  <c:v>1.8064157758141314E-2</c:v>
                </c:pt>
                <c:pt idx="24">
                  <c:v>1.8849555921538762E-2</c:v>
                </c:pt>
                <c:pt idx="25">
                  <c:v>1.963495408493621E-2</c:v>
                </c:pt>
                <c:pt idx="26">
                  <c:v>2.0420352248333658E-2</c:v>
                </c:pt>
                <c:pt idx="27">
                  <c:v>2.1205750411731106E-2</c:v>
                </c:pt>
                <c:pt idx="28">
                  <c:v>2.1991148575128554E-2</c:v>
                </c:pt>
                <c:pt idx="29">
                  <c:v>2.2776546738526002E-2</c:v>
                </c:pt>
                <c:pt idx="30">
                  <c:v>2.356194490192345E-2</c:v>
                </c:pt>
                <c:pt idx="31">
                  <c:v>2.4347343065320898E-2</c:v>
                </c:pt>
                <c:pt idx="32">
                  <c:v>2.5132741228718346E-2</c:v>
                </c:pt>
                <c:pt idx="33">
                  <c:v>2.5918139392115794E-2</c:v>
                </c:pt>
                <c:pt idx="34">
                  <c:v>2.6703537555513242E-2</c:v>
                </c:pt>
                <c:pt idx="35">
                  <c:v>2.748893571891069E-2</c:v>
                </c:pt>
                <c:pt idx="36">
                  <c:v>2.8274333882308138E-2</c:v>
                </c:pt>
                <c:pt idx="37">
                  <c:v>2.9059732045705586E-2</c:v>
                </c:pt>
                <c:pt idx="38">
                  <c:v>2.9845130209103034E-2</c:v>
                </c:pt>
                <c:pt idx="39">
                  <c:v>3.0630528372500482E-2</c:v>
                </c:pt>
                <c:pt idx="40">
                  <c:v>3.1415926535897934E-2</c:v>
                </c:pt>
                <c:pt idx="41">
                  <c:v>3.2201324699295382E-2</c:v>
                </c:pt>
                <c:pt idx="42">
                  <c:v>3.298672286269283E-2</c:v>
                </c:pt>
                <c:pt idx="43">
                  <c:v>3.3772121026090278E-2</c:v>
                </c:pt>
                <c:pt idx="44">
                  <c:v>3.4557519189487726E-2</c:v>
                </c:pt>
                <c:pt idx="45">
                  <c:v>3.5342917352885174E-2</c:v>
                </c:pt>
                <c:pt idx="46">
                  <c:v>3.6128315516282622E-2</c:v>
                </c:pt>
                <c:pt idx="47">
                  <c:v>3.691371367968007E-2</c:v>
                </c:pt>
                <c:pt idx="48">
                  <c:v>3.7699111843077518E-2</c:v>
                </c:pt>
                <c:pt idx="49">
                  <c:v>3.8484510006474966E-2</c:v>
                </c:pt>
                <c:pt idx="50">
                  <c:v>3.9269908169872414E-2</c:v>
                </c:pt>
                <c:pt idx="51">
                  <c:v>4.0055306333269862E-2</c:v>
                </c:pt>
                <c:pt idx="52">
                  <c:v>4.084070449666731E-2</c:v>
                </c:pt>
                <c:pt idx="53">
                  <c:v>4.1626102660064758E-2</c:v>
                </c:pt>
                <c:pt idx="54">
                  <c:v>4.2411500823462206E-2</c:v>
                </c:pt>
                <c:pt idx="55">
                  <c:v>4.3196898986859654E-2</c:v>
                </c:pt>
                <c:pt idx="56">
                  <c:v>4.3982297150257102E-2</c:v>
                </c:pt>
                <c:pt idx="57">
                  <c:v>4.476769531365455E-2</c:v>
                </c:pt>
                <c:pt idx="58">
                  <c:v>4.5553093477051998E-2</c:v>
                </c:pt>
                <c:pt idx="59">
                  <c:v>4.6338491640449446E-2</c:v>
                </c:pt>
                <c:pt idx="60">
                  <c:v>4.7123889803846894E-2</c:v>
                </c:pt>
                <c:pt idx="61">
                  <c:v>4.7909287967244342E-2</c:v>
                </c:pt>
                <c:pt idx="62">
                  <c:v>4.869468613064179E-2</c:v>
                </c:pt>
                <c:pt idx="63">
                  <c:v>4.9480084294039238E-2</c:v>
                </c:pt>
                <c:pt idx="64">
                  <c:v>5.0265482457436686E-2</c:v>
                </c:pt>
                <c:pt idx="65">
                  <c:v>5.1050880620834134E-2</c:v>
                </c:pt>
                <c:pt idx="66">
                  <c:v>5.1836278784231582E-2</c:v>
                </c:pt>
                <c:pt idx="67">
                  <c:v>5.262167694762903E-2</c:v>
                </c:pt>
                <c:pt idx="68">
                  <c:v>5.3407075111026478E-2</c:v>
                </c:pt>
                <c:pt idx="69">
                  <c:v>5.4192473274423926E-2</c:v>
                </c:pt>
                <c:pt idx="70">
                  <c:v>5.4977871437821374E-2</c:v>
                </c:pt>
                <c:pt idx="71">
                  <c:v>5.5763269601218822E-2</c:v>
                </c:pt>
                <c:pt idx="72">
                  <c:v>5.654866776461627E-2</c:v>
                </c:pt>
                <c:pt idx="73">
                  <c:v>5.7334065928013718E-2</c:v>
                </c:pt>
                <c:pt idx="74">
                  <c:v>5.8119464091411166E-2</c:v>
                </c:pt>
                <c:pt idx="75">
                  <c:v>5.8904862254808614E-2</c:v>
                </c:pt>
                <c:pt idx="76">
                  <c:v>5.9690260418206062E-2</c:v>
                </c:pt>
                <c:pt idx="77">
                  <c:v>6.047565858160351E-2</c:v>
                </c:pt>
                <c:pt idx="78">
                  <c:v>6.1261056745000958E-2</c:v>
                </c:pt>
                <c:pt idx="79">
                  <c:v>6.2046454908398406E-2</c:v>
                </c:pt>
                <c:pt idx="80">
                  <c:v>6.2831853071795854E-2</c:v>
                </c:pt>
                <c:pt idx="81">
                  <c:v>6.3617251235193309E-2</c:v>
                </c:pt>
                <c:pt idx="82">
                  <c:v>6.4402649398590764E-2</c:v>
                </c:pt>
                <c:pt idx="83">
                  <c:v>6.5188047561988219E-2</c:v>
                </c:pt>
                <c:pt idx="84">
                  <c:v>6.5973445725385674E-2</c:v>
                </c:pt>
                <c:pt idx="85">
                  <c:v>6.6758843888783129E-2</c:v>
                </c:pt>
                <c:pt idx="86">
                  <c:v>6.7544242052180584E-2</c:v>
                </c:pt>
                <c:pt idx="87">
                  <c:v>6.8329640215578039E-2</c:v>
                </c:pt>
                <c:pt idx="88">
                  <c:v>6.9115038378975494E-2</c:v>
                </c:pt>
                <c:pt idx="89">
                  <c:v>6.9900436542372948E-2</c:v>
                </c:pt>
                <c:pt idx="90">
                  <c:v>7.0685834705770403E-2</c:v>
                </c:pt>
                <c:pt idx="91">
                  <c:v>7.1471232869167858E-2</c:v>
                </c:pt>
                <c:pt idx="92">
                  <c:v>7.2256631032565313E-2</c:v>
                </c:pt>
                <c:pt idx="93">
                  <c:v>7.3042029195962768E-2</c:v>
                </c:pt>
                <c:pt idx="94">
                  <c:v>7.3827427359360223E-2</c:v>
                </c:pt>
                <c:pt idx="95">
                  <c:v>7.4612825522757678E-2</c:v>
                </c:pt>
                <c:pt idx="96">
                  <c:v>7.5398223686155133E-2</c:v>
                </c:pt>
                <c:pt idx="97">
                  <c:v>7.6183621849552588E-2</c:v>
                </c:pt>
                <c:pt idx="98">
                  <c:v>7.6969020012950043E-2</c:v>
                </c:pt>
                <c:pt idx="99">
                  <c:v>7.7754418176347498E-2</c:v>
                </c:pt>
                <c:pt idx="100">
                  <c:v>7.8539816339744953E-2</c:v>
                </c:pt>
                <c:pt idx="101">
                  <c:v>7.9325214503142408E-2</c:v>
                </c:pt>
                <c:pt idx="102">
                  <c:v>8.0110612666539863E-2</c:v>
                </c:pt>
                <c:pt idx="103">
                  <c:v>8.0896010829937318E-2</c:v>
                </c:pt>
                <c:pt idx="104">
                  <c:v>8.1681408993334773E-2</c:v>
                </c:pt>
                <c:pt idx="105">
                  <c:v>8.2466807156732228E-2</c:v>
                </c:pt>
                <c:pt idx="106">
                  <c:v>8.3252205320129682E-2</c:v>
                </c:pt>
                <c:pt idx="107">
                  <c:v>8.4037603483527137E-2</c:v>
                </c:pt>
                <c:pt idx="108">
                  <c:v>8.4823001646924592E-2</c:v>
                </c:pt>
                <c:pt idx="109">
                  <c:v>8.5608399810322047E-2</c:v>
                </c:pt>
                <c:pt idx="110">
                  <c:v>8.6393797973719502E-2</c:v>
                </c:pt>
                <c:pt idx="111">
                  <c:v>8.7179196137116957E-2</c:v>
                </c:pt>
                <c:pt idx="112">
                  <c:v>8.7964594300514412E-2</c:v>
                </c:pt>
                <c:pt idx="113">
                  <c:v>8.8749992463911867E-2</c:v>
                </c:pt>
                <c:pt idx="114">
                  <c:v>8.9535390627309322E-2</c:v>
                </c:pt>
                <c:pt idx="115">
                  <c:v>9.0320788790706777E-2</c:v>
                </c:pt>
                <c:pt idx="116">
                  <c:v>9.1106186954104232E-2</c:v>
                </c:pt>
                <c:pt idx="117">
                  <c:v>9.1891585117501687E-2</c:v>
                </c:pt>
                <c:pt idx="118">
                  <c:v>9.2676983280899142E-2</c:v>
                </c:pt>
                <c:pt idx="119">
                  <c:v>9.3462381444296597E-2</c:v>
                </c:pt>
                <c:pt idx="120">
                  <c:v>9.4247779607694052E-2</c:v>
                </c:pt>
                <c:pt idx="121">
                  <c:v>9.5033177771091507E-2</c:v>
                </c:pt>
                <c:pt idx="122">
                  <c:v>9.5818575934488961E-2</c:v>
                </c:pt>
                <c:pt idx="123">
                  <c:v>9.6603974097886416E-2</c:v>
                </c:pt>
                <c:pt idx="124">
                  <c:v>9.7389372261283871E-2</c:v>
                </c:pt>
                <c:pt idx="125">
                  <c:v>9.8174770424681326E-2</c:v>
                </c:pt>
                <c:pt idx="126">
                  <c:v>9.8960168588078781E-2</c:v>
                </c:pt>
                <c:pt idx="127">
                  <c:v>9.9745566751476236E-2</c:v>
                </c:pt>
                <c:pt idx="128">
                  <c:v>0.10053096491487369</c:v>
                </c:pt>
                <c:pt idx="129">
                  <c:v>0.10131636307827115</c:v>
                </c:pt>
                <c:pt idx="130">
                  <c:v>0.1021017612416686</c:v>
                </c:pt>
                <c:pt idx="131">
                  <c:v>0.10288715940506606</c:v>
                </c:pt>
                <c:pt idx="132">
                  <c:v>0.10367255756846351</c:v>
                </c:pt>
                <c:pt idx="133">
                  <c:v>0.10445795573186097</c:v>
                </c:pt>
                <c:pt idx="134">
                  <c:v>0.10524335389525842</c:v>
                </c:pt>
                <c:pt idx="135">
                  <c:v>0.10602875205865588</c:v>
                </c:pt>
                <c:pt idx="136">
                  <c:v>0.10681415022205333</c:v>
                </c:pt>
                <c:pt idx="137">
                  <c:v>0.10759954838545079</c:v>
                </c:pt>
                <c:pt idx="138">
                  <c:v>0.10838494654884824</c:v>
                </c:pt>
                <c:pt idx="139">
                  <c:v>0.1091703447122457</c:v>
                </c:pt>
                <c:pt idx="140">
                  <c:v>0.10995574287564315</c:v>
                </c:pt>
                <c:pt idx="141">
                  <c:v>0.11074114103904061</c:v>
                </c:pt>
                <c:pt idx="142">
                  <c:v>0.11152653920243806</c:v>
                </c:pt>
                <c:pt idx="143">
                  <c:v>0.11231193736583552</c:v>
                </c:pt>
                <c:pt idx="144">
                  <c:v>0.11309733552923297</c:v>
                </c:pt>
                <c:pt idx="145">
                  <c:v>0.11388273369263043</c:v>
                </c:pt>
                <c:pt idx="146">
                  <c:v>0.11466813185602788</c:v>
                </c:pt>
                <c:pt idx="147">
                  <c:v>0.11545353001942533</c:v>
                </c:pt>
                <c:pt idx="148">
                  <c:v>0.11623892818282279</c:v>
                </c:pt>
                <c:pt idx="149">
                  <c:v>0.11702432634622024</c:v>
                </c:pt>
                <c:pt idx="150">
                  <c:v>0.1178097245096177</c:v>
                </c:pt>
                <c:pt idx="151">
                  <c:v>0.11859512267301515</c:v>
                </c:pt>
                <c:pt idx="152">
                  <c:v>0.11938052083641261</c:v>
                </c:pt>
                <c:pt idx="153">
                  <c:v>0.12016591899981006</c:v>
                </c:pt>
                <c:pt idx="154">
                  <c:v>0.12095131716320752</c:v>
                </c:pt>
                <c:pt idx="155">
                  <c:v>0.12173671532660497</c:v>
                </c:pt>
                <c:pt idx="156">
                  <c:v>0.12252211349000243</c:v>
                </c:pt>
                <c:pt idx="157">
                  <c:v>0.12330751165339988</c:v>
                </c:pt>
                <c:pt idx="158">
                  <c:v>0.12409290981679734</c:v>
                </c:pt>
                <c:pt idx="159">
                  <c:v>0.12487830798019479</c:v>
                </c:pt>
                <c:pt idx="160">
                  <c:v>0.12566370614359224</c:v>
                </c:pt>
                <c:pt idx="161">
                  <c:v>0.12644910430698969</c:v>
                </c:pt>
                <c:pt idx="162">
                  <c:v>0.12723450247038715</c:v>
                </c:pt>
                <c:pt idx="163">
                  <c:v>0.1280199006337846</c:v>
                </c:pt>
                <c:pt idx="164">
                  <c:v>0.12880529879718206</c:v>
                </c:pt>
                <c:pt idx="165">
                  <c:v>0.12959069696057951</c:v>
                </c:pt>
                <c:pt idx="166">
                  <c:v>0.13037609512397696</c:v>
                </c:pt>
                <c:pt idx="167">
                  <c:v>0.13116149328737442</c:v>
                </c:pt>
                <c:pt idx="168">
                  <c:v>0.13194689145077187</c:v>
                </c:pt>
                <c:pt idx="169">
                  <c:v>0.13273228961416933</c:v>
                </c:pt>
                <c:pt idx="170">
                  <c:v>0.13351768777756678</c:v>
                </c:pt>
                <c:pt idx="171">
                  <c:v>0.13430308594096424</c:v>
                </c:pt>
                <c:pt idx="172">
                  <c:v>0.13508848410436169</c:v>
                </c:pt>
                <c:pt idx="173">
                  <c:v>0.13587388226775915</c:v>
                </c:pt>
                <c:pt idx="174">
                  <c:v>0.1366592804311566</c:v>
                </c:pt>
                <c:pt idx="175">
                  <c:v>0.13744467859455406</c:v>
                </c:pt>
                <c:pt idx="176">
                  <c:v>0.13823007675795151</c:v>
                </c:pt>
                <c:pt idx="177">
                  <c:v>0.13901547492134897</c:v>
                </c:pt>
                <c:pt idx="178">
                  <c:v>0.13980087308474642</c:v>
                </c:pt>
                <c:pt idx="179">
                  <c:v>0.14058627124814388</c:v>
                </c:pt>
                <c:pt idx="180">
                  <c:v>0.14137166941154133</c:v>
                </c:pt>
                <c:pt idx="181">
                  <c:v>0.14215706757493879</c:v>
                </c:pt>
                <c:pt idx="182">
                  <c:v>0.14294246573833624</c:v>
                </c:pt>
                <c:pt idx="183">
                  <c:v>0.1437278639017337</c:v>
                </c:pt>
                <c:pt idx="184">
                  <c:v>0.14451326206513115</c:v>
                </c:pt>
                <c:pt idx="185">
                  <c:v>0.14529866022852861</c:v>
                </c:pt>
                <c:pt idx="186">
                  <c:v>0.14608405839192606</c:v>
                </c:pt>
                <c:pt idx="187">
                  <c:v>0.14686945655532352</c:v>
                </c:pt>
                <c:pt idx="188">
                  <c:v>0.14765485471872097</c:v>
                </c:pt>
                <c:pt idx="189">
                  <c:v>0.14844025288211843</c:v>
                </c:pt>
                <c:pt idx="190">
                  <c:v>0.14922565104551588</c:v>
                </c:pt>
                <c:pt idx="191">
                  <c:v>0.15001104920891334</c:v>
                </c:pt>
                <c:pt idx="192">
                  <c:v>0.15079644737231079</c:v>
                </c:pt>
                <c:pt idx="193">
                  <c:v>0.15158184553570825</c:v>
                </c:pt>
                <c:pt idx="194">
                  <c:v>0.1523672436991057</c:v>
                </c:pt>
                <c:pt idx="195">
                  <c:v>0.15315264186250316</c:v>
                </c:pt>
                <c:pt idx="196">
                  <c:v>0.15393804002590061</c:v>
                </c:pt>
                <c:pt idx="197">
                  <c:v>0.15472343818929807</c:v>
                </c:pt>
                <c:pt idx="198">
                  <c:v>0.15550883635269552</c:v>
                </c:pt>
                <c:pt idx="199">
                  <c:v>0.15629423451609298</c:v>
                </c:pt>
                <c:pt idx="200">
                  <c:v>0.15707963267949043</c:v>
                </c:pt>
              </c:numCache>
            </c:numRef>
          </c:cat>
          <c:val>
            <c:numRef>
              <c:f>'RLC Transient'!$C$22:$C$222</c:f>
              <c:numCache>
                <c:formatCode>0.0000</c:formatCode>
                <c:ptCount val="201"/>
                <c:pt idx="0">
                  <c:v>10</c:v>
                </c:pt>
                <c:pt idx="1">
                  <c:v>6.0167853698638032</c:v>
                </c:pt>
                <c:pt idx="2">
                  <c:v>3.2359062254051194</c:v>
                </c:pt>
                <c:pt idx="3">
                  <c:v>1.3416469094459442</c:v>
                </c:pt>
                <c:pt idx="4">
                  <c:v>9.3540233584448629E-2</c:v>
                </c:pt>
                <c:pt idx="5">
                  <c:v>-0.69014101840571129</c:v>
                </c:pt>
                <c:pt idx="6">
                  <c:v>-1.1455637204885205</c:v>
                </c:pt>
                <c:pt idx="7">
                  <c:v>-1.3737910897338326</c:v>
                </c:pt>
                <c:pt idx="8">
                  <c:v>-1.4490279136578277</c:v>
                </c:pt>
                <c:pt idx="9">
                  <c:v>-1.4250818260440159</c:v>
                </c:pt>
                <c:pt idx="10">
                  <c:v>-1.3403947941654666</c:v>
                </c:pt>
                <c:pt idx="11">
                  <c:v>-1.2219358655119414</c:v>
                </c:pt>
                <c:pt idx="12">
                  <c:v>-1.0881925810464148</c:v>
                </c:pt>
                <c:pt idx="13">
                  <c:v>-0.9514533597455257</c:v>
                </c:pt>
                <c:pt idx="14">
                  <c:v>-0.8195355942449023</c:v>
                </c:pt>
                <c:pt idx="15">
                  <c:v>-0.69708317581086021</c:v>
                </c:pt>
                <c:pt idx="16">
                  <c:v>-0.5865317478992651</c:v>
                </c:pt>
                <c:pt idx="17">
                  <c:v>-0.48881930985514899</c:v>
                </c:pt>
                <c:pt idx="18">
                  <c:v>-0.40390308612937709</c:v>
                </c:pt>
                <c:pt idx="19">
                  <c:v>-0.33113016690312591</c:v>
                </c:pt>
                <c:pt idx="20">
                  <c:v>-0.26949873063388274</c:v>
                </c:pt>
                <c:pt idx="21">
                  <c:v>-0.21783818128278831</c:v>
                </c:pt>
                <c:pt idx="22">
                  <c:v>-0.17492985440830822</c:v>
                </c:pt>
                <c:pt idx="23">
                  <c:v>-0.13958471766456704</c:v>
                </c:pt>
                <c:pt idx="24">
                  <c:v>-0.11069042355639169</c:v>
                </c:pt>
                <c:pt idx="25">
                  <c:v>-8.7236928381763335E-2</c:v>
                </c:pt>
                <c:pt idx="26">
                  <c:v>-6.8327477865297581E-2</c:v>
                </c:pt>
                <c:pt idx="27">
                  <c:v>-5.3179920660426205E-2</c:v>
                </c:pt>
                <c:pt idx="28">
                  <c:v>-4.1121919953390318E-2</c:v>
                </c:pt>
                <c:pt idx="29">
                  <c:v>-3.1582590418532064E-2</c:v>
                </c:pt>
                <c:pt idx="30">
                  <c:v>-2.4082313038389813E-2</c:v>
                </c:pt>
                <c:pt idx="31">
                  <c:v>-1.8221910927143981E-2</c:v>
                </c:pt>
                <c:pt idx="32">
                  <c:v>-1.3671955976727546E-2</c:v>
                </c:pt>
                <c:pt idx="33">
                  <c:v>-1.0162680466638818E-2</c:v>
                </c:pt>
                <c:pt idx="34">
                  <c:v>-7.4747600046194407E-3</c:v>
                </c:pt>
                <c:pt idx="35">
                  <c:v>-5.4310914319479764E-3</c:v>
                </c:pt>
                <c:pt idx="36">
                  <c:v>-3.8895941783980703E-3</c:v>
                </c:pt>
                <c:pt idx="37">
                  <c:v>-2.7370027635615912E-3</c:v>
                </c:pt>
                <c:pt idx="38">
                  <c:v>-1.8835817761289064E-3</c:v>
                </c:pt>
                <c:pt idx="39">
                  <c:v>-1.2586753231609293E-3</c:v>
                </c:pt>
                <c:pt idx="40">
                  <c:v>-8.0699517570437251E-4</c:v>
                </c:pt>
                <c:pt idx="41">
                  <c:v>-4.8555167667174715E-4</c:v>
                </c:pt>
                <c:pt idx="42">
                  <c:v>-2.6113607129296668E-4</c:v>
                </c:pt>
                <c:pt idx="43">
                  <c:v>-1.0827025834281301E-4</c:v>
                </c:pt>
                <c:pt idx="44">
                  <c:v>-7.5486517232548067E-6</c:v>
                </c:pt>
                <c:pt idx="45">
                  <c:v>5.5694047240706368E-5</c:v>
                </c:pt>
                <c:pt idx="46">
                  <c:v>9.244643959149812E-5</c:v>
                </c:pt>
                <c:pt idx="47">
                  <c:v>1.1086427818440825E-4</c:v>
                </c:pt>
                <c:pt idx="48">
                  <c:v>1.1693585357797076E-4</c:v>
                </c:pt>
                <c:pt idx="49">
                  <c:v>1.1500341585879426E-4</c:v>
                </c:pt>
                <c:pt idx="50">
                  <c:v>1.0816921324163786E-4</c:v>
                </c:pt>
                <c:pt idx="51">
                  <c:v>9.86096348487564E-5</c:v>
                </c:pt>
                <c:pt idx="52">
                  <c:v>8.7816616312963447E-5</c:v>
                </c:pt>
                <c:pt idx="53">
                  <c:v>7.6781827122118784E-5</c:v>
                </c:pt>
                <c:pt idx="54">
                  <c:v>6.6136127086835472E-5</c:v>
                </c:pt>
                <c:pt idx="55">
                  <c:v>5.6254275992984049E-5</c:v>
                </c:pt>
                <c:pt idx="56">
                  <c:v>4.7332829094415274E-5</c:v>
                </c:pt>
                <c:pt idx="57">
                  <c:v>3.9447482484078478E-5</c:v>
                </c:pt>
                <c:pt idx="58">
                  <c:v>3.2594784194373005E-5</c:v>
                </c:pt>
                <c:pt idx="59">
                  <c:v>2.6722044724536431E-5</c:v>
                </c:pt>
                <c:pt idx="60">
                  <c:v>2.1748417548650423E-5</c:v>
                </c:pt>
                <c:pt idx="61">
                  <c:v>1.7579436137893367E-5</c:v>
                </c:pt>
                <c:pt idx="62">
                  <c:v>1.4116754860182823E-5</c:v>
                </c:pt>
                <c:pt idx="63">
                  <c:v>1.1264419375933699E-5</c:v>
                </c:pt>
                <c:pt idx="64">
                  <c:v>8.9326637819908683E-6</c:v>
                </c:pt>
                <c:pt idx="65">
                  <c:v>7.0399780351948493E-6</c:v>
                </c:pt>
                <c:pt idx="66">
                  <c:v>5.51399450188228E-6</c:v>
                </c:pt>
                <c:pt idx="67">
                  <c:v>4.2915939424403859E-6</c:v>
                </c:pt>
                <c:pt idx="68">
                  <c:v>3.3185191004037051E-6</c:v>
                </c:pt>
                <c:pt idx="69">
                  <c:v>2.5486998112000947E-6</c:v>
                </c:pt>
                <c:pt idx="70">
                  <c:v>1.9434310445376468E-6</c:v>
                </c:pt>
                <c:pt idx="71">
                  <c:v>1.4704994217851208E-6</c:v>
                </c:pt>
                <c:pt idx="72">
                  <c:v>1.1033202529375785E-6</c:v>
                </c:pt>
                <c:pt idx="73">
                  <c:v>8.2012341096060482E-7</c:v>
                </c:pt>
                <c:pt idx="74">
                  <c:v>6.0320952677272999E-7</c:v>
                </c:pt>
                <c:pt idx="75">
                  <c:v>4.3828645779342423E-7</c:v>
                </c:pt>
                <c:pt idx="76">
                  <c:v>3.1388837307133599E-7</c:v>
                </c:pt>
                <c:pt idx="77">
                  <c:v>2.2087480289201267E-7</c:v>
                </c:pt>
                <c:pt idx="78">
                  <c:v>1.5200414082983116E-7</c:v>
                </c:pt>
                <c:pt idx="79">
                  <c:v>1.0157449104042371E-7</c:v>
                </c:pt>
                <c:pt idx="80">
                  <c:v>6.512412120684985E-8</c:v>
                </c:pt>
                <c:pt idx="81">
                  <c:v>3.9183786881835658E-8</c:v>
                </c:pt>
                <c:pt idx="82">
                  <c:v>2.1073555345196837E-8</c:v>
                </c:pt>
                <c:pt idx="83">
                  <c:v>8.7373592805306544E-9</c:v>
                </c:pt>
                <c:pt idx="84">
                  <c:v>6.0917138000604609E-10</c:v>
                </c:pt>
                <c:pt idx="85">
                  <c:v>-4.4944812316316529E-9</c:v>
                </c:pt>
                <c:pt idx="86">
                  <c:v>-7.4603825339636387E-9</c:v>
                </c:pt>
                <c:pt idx="87">
                  <c:v>-8.9466940522697769E-9</c:v>
                </c:pt>
                <c:pt idx="88">
                  <c:v>-9.436666559281548E-9</c:v>
                </c:pt>
                <c:pt idx="89">
                  <c:v>-9.2807201923506E-9</c:v>
                </c:pt>
                <c:pt idx="90">
                  <c:v>-8.7292040262809678E-9</c:v>
                </c:pt>
                <c:pt idx="91">
                  <c:v>-7.957750014497833E-9</c:v>
                </c:pt>
                <c:pt idx="92">
                  <c:v>-7.0867596235757446E-9</c:v>
                </c:pt>
                <c:pt idx="93">
                  <c:v>-6.1962559527728445E-9</c:v>
                </c:pt>
                <c:pt idx="94">
                  <c:v>-5.3371529418200225E-9</c:v>
                </c:pt>
                <c:pt idx="95">
                  <c:v>-4.5396930659080681E-9</c:v>
                </c:pt>
                <c:pt idx="96">
                  <c:v>-3.8197356388991466E-9</c:v>
                </c:pt>
                <c:pt idx="97">
                  <c:v>-3.1833931046776343E-9</c:v>
                </c:pt>
                <c:pt idx="98">
                  <c:v>-2.6303847988629059E-9</c:v>
                </c:pt>
                <c:pt idx="99">
                  <c:v>-2.1564545704677585E-9</c:v>
                </c:pt>
                <c:pt idx="100">
                  <c:v>-1.7550867426052719E-9</c:v>
                </c:pt>
                <c:pt idx="101">
                  <c:v>-1.418651862650222E-9</c:v>
                </c:pt>
                <c:pt idx="102">
                  <c:v>-1.139214944601008E-9</c:v>
                </c:pt>
                <c:pt idx="103">
                  <c:v>-9.0903284899468417E-10</c:v>
                </c:pt>
                <c:pt idx="104">
                  <c:v>-7.2086159264017624E-10</c:v>
                </c:pt>
                <c:pt idx="105">
                  <c:v>-5.681233261611851E-10</c:v>
                </c:pt>
                <c:pt idx="106">
                  <c:v>-4.4497738826976274E-10</c:v>
                </c:pt>
                <c:pt idx="107">
                  <c:v>-3.4632918755050923E-10</c:v>
                </c:pt>
                <c:pt idx="108">
                  <c:v>-2.6780355710798176E-10</c:v>
                </c:pt>
                <c:pt idx="109">
                  <c:v>-2.056790293636368E-10</c:v>
                </c:pt>
                <c:pt idx="110">
                  <c:v>-1.5683276899380871E-10</c:v>
                </c:pt>
                <c:pt idx="111">
                  <c:v>-1.1866774229929433E-10</c:v>
                </c:pt>
                <c:pt idx="112">
                  <c:v>-8.9036333861258754E-11</c:v>
                </c:pt>
                <c:pt idx="113">
                  <c:v>-6.6183503122374532E-11</c:v>
                </c:pt>
                <c:pt idx="114">
                  <c:v>-4.8677506470085063E-11</c:v>
                </c:pt>
                <c:pt idx="115">
                  <c:v>-3.5370817386137787E-11</c:v>
                </c:pt>
                <c:pt idx="116">
                  <c:v>-2.5330848529847572E-11</c:v>
                </c:pt>
                <c:pt idx="117">
                  <c:v>-1.7823964526542113E-11</c:v>
                </c:pt>
                <c:pt idx="118">
                  <c:v>-1.226929668973753E-11</c:v>
                </c:pt>
                <c:pt idx="119">
                  <c:v>-8.1961104569927556E-12</c:v>
                </c:pt>
                <c:pt idx="120">
                  <c:v>-5.2562398877853411E-12</c:v>
                </c:pt>
                <c:pt idx="121">
                  <c:v>-3.1619151741324458E-12</c:v>
                </c:pt>
                <c:pt idx="122">
                  <c:v>-1.7017498521454399E-12</c:v>
                </c:pt>
                <c:pt idx="123">
                  <c:v>-7.0521366524189943E-13</c:v>
                </c:pt>
                <c:pt idx="124">
                  <c:v>-4.9737991503207013E-14</c:v>
                </c:pt>
                <c:pt idx="125">
                  <c:v>3.6060043839825084E-13</c:v>
                </c:pt>
                <c:pt idx="126">
                  <c:v>6.0218496855668491E-13</c:v>
                </c:pt>
                <c:pt idx="127">
                  <c:v>7.2120087679650169E-13</c:v>
                </c:pt>
                <c:pt idx="128">
                  <c:v>7.6205708410270745E-13</c:v>
                </c:pt>
                <c:pt idx="129">
                  <c:v>7.496225862269057E-13</c:v>
                </c:pt>
                <c:pt idx="130">
                  <c:v>7.0343730840249918E-13</c:v>
                </c:pt>
                <c:pt idx="131">
                  <c:v>6.4304117586289067E-13</c:v>
                </c:pt>
                <c:pt idx="132">
                  <c:v>5.7198690228688065E-13</c:v>
                </c:pt>
                <c:pt idx="133">
                  <c:v>5.0093262871087063E-13</c:v>
                </c:pt>
                <c:pt idx="134">
                  <c:v>4.3165471197426086E-13</c:v>
                </c:pt>
                <c:pt idx="135">
                  <c:v>3.6770586575585185E-13</c:v>
                </c:pt>
                <c:pt idx="136">
                  <c:v>3.0730973321624333E-13</c:v>
                </c:pt>
                <c:pt idx="137">
                  <c:v>2.5579538487363607E-13</c:v>
                </c:pt>
                <c:pt idx="138">
                  <c:v>2.1316282072803006E-13</c:v>
                </c:pt>
                <c:pt idx="139">
                  <c:v>1.723066134218243E-13</c:v>
                </c:pt>
                <c:pt idx="140">
                  <c:v>1.4033219031261979E-13</c:v>
                </c:pt>
                <c:pt idx="141">
                  <c:v>1.1546319456101628E-13</c:v>
                </c:pt>
                <c:pt idx="142">
                  <c:v>9.2370555648813024E-14</c:v>
                </c:pt>
                <c:pt idx="143">
                  <c:v>7.2830630415410269E-14</c:v>
                </c:pt>
                <c:pt idx="144">
                  <c:v>5.8619775700208265E-14</c:v>
                </c:pt>
                <c:pt idx="145">
                  <c:v>4.4408920985006262E-14</c:v>
                </c:pt>
                <c:pt idx="146">
                  <c:v>3.730349362740526E-14</c:v>
                </c:pt>
                <c:pt idx="147">
                  <c:v>2.8421709430404007E-14</c:v>
                </c:pt>
                <c:pt idx="148">
                  <c:v>2.1316282072803006E-14</c:v>
                </c:pt>
                <c:pt idx="149">
                  <c:v>1.7763568394002505E-14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99C-4EB9-AA98-992E28CC9579}"/>
            </c:ext>
          </c:extLst>
        </c:ser>
        <c:ser>
          <c:idx val="2"/>
          <c:order val="2"/>
          <c:tx>
            <c:strRef>
              <c:f>'RLC Transient'!$D$21</c:f>
              <c:strCache>
                <c:ptCount val="1"/>
                <c:pt idx="0">
                  <c:v>V_C - Voltage across Capacitor (V)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'RLC Transient'!$A$22:$A$222</c:f>
              <c:numCache>
                <c:formatCode>0.000000</c:formatCode>
                <c:ptCount val="201"/>
                <c:pt idx="0">
                  <c:v>0</c:v>
                </c:pt>
                <c:pt idx="1">
                  <c:v>7.8539816339744887E-4</c:v>
                </c:pt>
                <c:pt idx="2">
                  <c:v>1.5707963267948977E-3</c:v>
                </c:pt>
                <c:pt idx="3">
                  <c:v>2.3561944901923466E-3</c:v>
                </c:pt>
                <c:pt idx="4">
                  <c:v>3.1415926535897955E-3</c:v>
                </c:pt>
                <c:pt idx="5">
                  <c:v>3.9269908169872443E-3</c:v>
                </c:pt>
                <c:pt idx="6">
                  <c:v>4.7123889803846932E-3</c:v>
                </c:pt>
                <c:pt idx="7">
                  <c:v>5.4977871437821421E-3</c:v>
                </c:pt>
                <c:pt idx="8">
                  <c:v>6.283185307179591E-3</c:v>
                </c:pt>
                <c:pt idx="9">
                  <c:v>7.0685834705770398E-3</c:v>
                </c:pt>
                <c:pt idx="10">
                  <c:v>7.8539816339744887E-3</c:v>
                </c:pt>
                <c:pt idx="11">
                  <c:v>8.6393797973719384E-3</c:v>
                </c:pt>
                <c:pt idx="12">
                  <c:v>9.4247779607693864E-3</c:v>
                </c:pt>
                <c:pt idx="13">
                  <c:v>1.0210176124166834E-2</c:v>
                </c:pt>
                <c:pt idx="14">
                  <c:v>1.0995574287564282E-2</c:v>
                </c:pt>
                <c:pt idx="15">
                  <c:v>1.178097245096173E-2</c:v>
                </c:pt>
                <c:pt idx="16">
                  <c:v>1.2566370614359178E-2</c:v>
                </c:pt>
                <c:pt idx="17">
                  <c:v>1.3351768777756626E-2</c:v>
                </c:pt>
                <c:pt idx="18">
                  <c:v>1.4137166941154074E-2</c:v>
                </c:pt>
                <c:pt idx="19">
                  <c:v>1.4922565104551522E-2</c:v>
                </c:pt>
                <c:pt idx="20">
                  <c:v>1.570796326794897E-2</c:v>
                </c:pt>
                <c:pt idx="21">
                  <c:v>1.6493361431346418E-2</c:v>
                </c:pt>
                <c:pt idx="22">
                  <c:v>1.7278759594743866E-2</c:v>
                </c:pt>
                <c:pt idx="23">
                  <c:v>1.8064157758141314E-2</c:v>
                </c:pt>
                <c:pt idx="24">
                  <c:v>1.8849555921538762E-2</c:v>
                </c:pt>
                <c:pt idx="25">
                  <c:v>1.963495408493621E-2</c:v>
                </c:pt>
                <c:pt idx="26">
                  <c:v>2.0420352248333658E-2</c:v>
                </c:pt>
                <c:pt idx="27">
                  <c:v>2.1205750411731106E-2</c:v>
                </c:pt>
                <c:pt idx="28">
                  <c:v>2.1991148575128554E-2</c:v>
                </c:pt>
                <c:pt idx="29">
                  <c:v>2.2776546738526002E-2</c:v>
                </c:pt>
                <c:pt idx="30">
                  <c:v>2.356194490192345E-2</c:v>
                </c:pt>
                <c:pt idx="31">
                  <c:v>2.4347343065320898E-2</c:v>
                </c:pt>
                <c:pt idx="32">
                  <c:v>2.5132741228718346E-2</c:v>
                </c:pt>
                <c:pt idx="33">
                  <c:v>2.5918139392115794E-2</c:v>
                </c:pt>
                <c:pt idx="34">
                  <c:v>2.6703537555513242E-2</c:v>
                </c:pt>
                <c:pt idx="35">
                  <c:v>2.748893571891069E-2</c:v>
                </c:pt>
                <c:pt idx="36">
                  <c:v>2.8274333882308138E-2</c:v>
                </c:pt>
                <c:pt idx="37">
                  <c:v>2.9059732045705586E-2</c:v>
                </c:pt>
                <c:pt idx="38">
                  <c:v>2.9845130209103034E-2</c:v>
                </c:pt>
                <c:pt idx="39">
                  <c:v>3.0630528372500482E-2</c:v>
                </c:pt>
                <c:pt idx="40">
                  <c:v>3.1415926535897934E-2</c:v>
                </c:pt>
                <c:pt idx="41">
                  <c:v>3.2201324699295382E-2</c:v>
                </c:pt>
                <c:pt idx="42">
                  <c:v>3.298672286269283E-2</c:v>
                </c:pt>
                <c:pt idx="43">
                  <c:v>3.3772121026090278E-2</c:v>
                </c:pt>
                <c:pt idx="44">
                  <c:v>3.4557519189487726E-2</c:v>
                </c:pt>
                <c:pt idx="45">
                  <c:v>3.5342917352885174E-2</c:v>
                </c:pt>
                <c:pt idx="46">
                  <c:v>3.6128315516282622E-2</c:v>
                </c:pt>
                <c:pt idx="47">
                  <c:v>3.691371367968007E-2</c:v>
                </c:pt>
                <c:pt idx="48">
                  <c:v>3.7699111843077518E-2</c:v>
                </c:pt>
                <c:pt idx="49">
                  <c:v>3.8484510006474966E-2</c:v>
                </c:pt>
                <c:pt idx="50">
                  <c:v>3.9269908169872414E-2</c:v>
                </c:pt>
                <c:pt idx="51">
                  <c:v>4.0055306333269862E-2</c:v>
                </c:pt>
                <c:pt idx="52">
                  <c:v>4.084070449666731E-2</c:v>
                </c:pt>
                <c:pt idx="53">
                  <c:v>4.1626102660064758E-2</c:v>
                </c:pt>
                <c:pt idx="54">
                  <c:v>4.2411500823462206E-2</c:v>
                </c:pt>
                <c:pt idx="55">
                  <c:v>4.3196898986859654E-2</c:v>
                </c:pt>
                <c:pt idx="56">
                  <c:v>4.3982297150257102E-2</c:v>
                </c:pt>
                <c:pt idx="57">
                  <c:v>4.476769531365455E-2</c:v>
                </c:pt>
                <c:pt idx="58">
                  <c:v>4.5553093477051998E-2</c:v>
                </c:pt>
                <c:pt idx="59">
                  <c:v>4.6338491640449446E-2</c:v>
                </c:pt>
                <c:pt idx="60">
                  <c:v>4.7123889803846894E-2</c:v>
                </c:pt>
                <c:pt idx="61">
                  <c:v>4.7909287967244342E-2</c:v>
                </c:pt>
                <c:pt idx="62">
                  <c:v>4.869468613064179E-2</c:v>
                </c:pt>
                <c:pt idx="63">
                  <c:v>4.9480084294039238E-2</c:v>
                </c:pt>
                <c:pt idx="64">
                  <c:v>5.0265482457436686E-2</c:v>
                </c:pt>
                <c:pt idx="65">
                  <c:v>5.1050880620834134E-2</c:v>
                </c:pt>
                <c:pt idx="66">
                  <c:v>5.1836278784231582E-2</c:v>
                </c:pt>
                <c:pt idx="67">
                  <c:v>5.262167694762903E-2</c:v>
                </c:pt>
                <c:pt idx="68">
                  <c:v>5.3407075111026478E-2</c:v>
                </c:pt>
                <c:pt idx="69">
                  <c:v>5.4192473274423926E-2</c:v>
                </c:pt>
                <c:pt idx="70">
                  <c:v>5.4977871437821374E-2</c:v>
                </c:pt>
                <c:pt idx="71">
                  <c:v>5.5763269601218822E-2</c:v>
                </c:pt>
                <c:pt idx="72">
                  <c:v>5.654866776461627E-2</c:v>
                </c:pt>
                <c:pt idx="73">
                  <c:v>5.7334065928013718E-2</c:v>
                </c:pt>
                <c:pt idx="74">
                  <c:v>5.8119464091411166E-2</c:v>
                </c:pt>
                <c:pt idx="75">
                  <c:v>5.8904862254808614E-2</c:v>
                </c:pt>
                <c:pt idx="76">
                  <c:v>5.9690260418206062E-2</c:v>
                </c:pt>
                <c:pt idx="77">
                  <c:v>6.047565858160351E-2</c:v>
                </c:pt>
                <c:pt idx="78">
                  <c:v>6.1261056745000958E-2</c:v>
                </c:pt>
                <c:pt idx="79">
                  <c:v>6.2046454908398406E-2</c:v>
                </c:pt>
                <c:pt idx="80">
                  <c:v>6.2831853071795854E-2</c:v>
                </c:pt>
                <c:pt idx="81">
                  <c:v>6.3617251235193309E-2</c:v>
                </c:pt>
                <c:pt idx="82">
                  <c:v>6.4402649398590764E-2</c:v>
                </c:pt>
                <c:pt idx="83">
                  <c:v>6.5188047561988219E-2</c:v>
                </c:pt>
                <c:pt idx="84">
                  <c:v>6.5973445725385674E-2</c:v>
                </c:pt>
                <c:pt idx="85">
                  <c:v>6.6758843888783129E-2</c:v>
                </c:pt>
                <c:pt idx="86">
                  <c:v>6.7544242052180584E-2</c:v>
                </c:pt>
                <c:pt idx="87">
                  <c:v>6.8329640215578039E-2</c:v>
                </c:pt>
                <c:pt idx="88">
                  <c:v>6.9115038378975494E-2</c:v>
                </c:pt>
                <c:pt idx="89">
                  <c:v>6.9900436542372948E-2</c:v>
                </c:pt>
                <c:pt idx="90">
                  <c:v>7.0685834705770403E-2</c:v>
                </c:pt>
                <c:pt idx="91">
                  <c:v>7.1471232869167858E-2</c:v>
                </c:pt>
                <c:pt idx="92">
                  <c:v>7.2256631032565313E-2</c:v>
                </c:pt>
                <c:pt idx="93">
                  <c:v>7.3042029195962768E-2</c:v>
                </c:pt>
                <c:pt idx="94">
                  <c:v>7.3827427359360223E-2</c:v>
                </c:pt>
                <c:pt idx="95">
                  <c:v>7.4612825522757678E-2</c:v>
                </c:pt>
                <c:pt idx="96">
                  <c:v>7.5398223686155133E-2</c:v>
                </c:pt>
                <c:pt idx="97">
                  <c:v>7.6183621849552588E-2</c:v>
                </c:pt>
                <c:pt idx="98">
                  <c:v>7.6969020012950043E-2</c:v>
                </c:pt>
                <c:pt idx="99">
                  <c:v>7.7754418176347498E-2</c:v>
                </c:pt>
                <c:pt idx="100">
                  <c:v>7.8539816339744953E-2</c:v>
                </c:pt>
                <c:pt idx="101">
                  <c:v>7.9325214503142408E-2</c:v>
                </c:pt>
                <c:pt idx="102">
                  <c:v>8.0110612666539863E-2</c:v>
                </c:pt>
                <c:pt idx="103">
                  <c:v>8.0896010829937318E-2</c:v>
                </c:pt>
                <c:pt idx="104">
                  <c:v>8.1681408993334773E-2</c:v>
                </c:pt>
                <c:pt idx="105">
                  <c:v>8.2466807156732228E-2</c:v>
                </c:pt>
                <c:pt idx="106">
                  <c:v>8.3252205320129682E-2</c:v>
                </c:pt>
                <c:pt idx="107">
                  <c:v>8.4037603483527137E-2</c:v>
                </c:pt>
                <c:pt idx="108">
                  <c:v>8.4823001646924592E-2</c:v>
                </c:pt>
                <c:pt idx="109">
                  <c:v>8.5608399810322047E-2</c:v>
                </c:pt>
                <c:pt idx="110">
                  <c:v>8.6393797973719502E-2</c:v>
                </c:pt>
                <c:pt idx="111">
                  <c:v>8.7179196137116957E-2</c:v>
                </c:pt>
                <c:pt idx="112">
                  <c:v>8.7964594300514412E-2</c:v>
                </c:pt>
                <c:pt idx="113">
                  <c:v>8.8749992463911867E-2</c:v>
                </c:pt>
                <c:pt idx="114">
                  <c:v>8.9535390627309322E-2</c:v>
                </c:pt>
                <c:pt idx="115">
                  <c:v>9.0320788790706777E-2</c:v>
                </c:pt>
                <c:pt idx="116">
                  <c:v>9.1106186954104232E-2</c:v>
                </c:pt>
                <c:pt idx="117">
                  <c:v>9.1891585117501687E-2</c:v>
                </c:pt>
                <c:pt idx="118">
                  <c:v>9.2676983280899142E-2</c:v>
                </c:pt>
                <c:pt idx="119">
                  <c:v>9.3462381444296597E-2</c:v>
                </c:pt>
                <c:pt idx="120">
                  <c:v>9.4247779607694052E-2</c:v>
                </c:pt>
                <c:pt idx="121">
                  <c:v>9.5033177771091507E-2</c:v>
                </c:pt>
                <c:pt idx="122">
                  <c:v>9.5818575934488961E-2</c:v>
                </c:pt>
                <c:pt idx="123">
                  <c:v>9.6603974097886416E-2</c:v>
                </c:pt>
                <c:pt idx="124">
                  <c:v>9.7389372261283871E-2</c:v>
                </c:pt>
                <c:pt idx="125">
                  <c:v>9.8174770424681326E-2</c:v>
                </c:pt>
                <c:pt idx="126">
                  <c:v>9.8960168588078781E-2</c:v>
                </c:pt>
                <c:pt idx="127">
                  <c:v>9.9745566751476236E-2</c:v>
                </c:pt>
                <c:pt idx="128">
                  <c:v>0.10053096491487369</c:v>
                </c:pt>
                <c:pt idx="129">
                  <c:v>0.10131636307827115</c:v>
                </c:pt>
                <c:pt idx="130">
                  <c:v>0.1021017612416686</c:v>
                </c:pt>
                <c:pt idx="131">
                  <c:v>0.10288715940506606</c:v>
                </c:pt>
                <c:pt idx="132">
                  <c:v>0.10367255756846351</c:v>
                </c:pt>
                <c:pt idx="133">
                  <c:v>0.10445795573186097</c:v>
                </c:pt>
                <c:pt idx="134">
                  <c:v>0.10524335389525842</c:v>
                </c:pt>
                <c:pt idx="135">
                  <c:v>0.10602875205865588</c:v>
                </c:pt>
                <c:pt idx="136">
                  <c:v>0.10681415022205333</c:v>
                </c:pt>
                <c:pt idx="137">
                  <c:v>0.10759954838545079</c:v>
                </c:pt>
                <c:pt idx="138">
                  <c:v>0.10838494654884824</c:v>
                </c:pt>
                <c:pt idx="139">
                  <c:v>0.1091703447122457</c:v>
                </c:pt>
                <c:pt idx="140">
                  <c:v>0.10995574287564315</c:v>
                </c:pt>
                <c:pt idx="141">
                  <c:v>0.11074114103904061</c:v>
                </c:pt>
                <c:pt idx="142">
                  <c:v>0.11152653920243806</c:v>
                </c:pt>
                <c:pt idx="143">
                  <c:v>0.11231193736583552</c:v>
                </c:pt>
                <c:pt idx="144">
                  <c:v>0.11309733552923297</c:v>
                </c:pt>
                <c:pt idx="145">
                  <c:v>0.11388273369263043</c:v>
                </c:pt>
                <c:pt idx="146">
                  <c:v>0.11466813185602788</c:v>
                </c:pt>
                <c:pt idx="147">
                  <c:v>0.11545353001942533</c:v>
                </c:pt>
                <c:pt idx="148">
                  <c:v>0.11623892818282279</c:v>
                </c:pt>
                <c:pt idx="149">
                  <c:v>0.11702432634622024</c:v>
                </c:pt>
                <c:pt idx="150">
                  <c:v>0.1178097245096177</c:v>
                </c:pt>
                <c:pt idx="151">
                  <c:v>0.11859512267301515</c:v>
                </c:pt>
                <c:pt idx="152">
                  <c:v>0.11938052083641261</c:v>
                </c:pt>
                <c:pt idx="153">
                  <c:v>0.12016591899981006</c:v>
                </c:pt>
                <c:pt idx="154">
                  <c:v>0.12095131716320752</c:v>
                </c:pt>
                <c:pt idx="155">
                  <c:v>0.12173671532660497</c:v>
                </c:pt>
                <c:pt idx="156">
                  <c:v>0.12252211349000243</c:v>
                </c:pt>
                <c:pt idx="157">
                  <c:v>0.12330751165339988</c:v>
                </c:pt>
                <c:pt idx="158">
                  <c:v>0.12409290981679734</c:v>
                </c:pt>
                <c:pt idx="159">
                  <c:v>0.12487830798019479</c:v>
                </c:pt>
                <c:pt idx="160">
                  <c:v>0.12566370614359224</c:v>
                </c:pt>
                <c:pt idx="161">
                  <c:v>0.12644910430698969</c:v>
                </c:pt>
                <c:pt idx="162">
                  <c:v>0.12723450247038715</c:v>
                </c:pt>
                <c:pt idx="163">
                  <c:v>0.1280199006337846</c:v>
                </c:pt>
                <c:pt idx="164">
                  <c:v>0.12880529879718206</c:v>
                </c:pt>
                <c:pt idx="165">
                  <c:v>0.12959069696057951</c:v>
                </c:pt>
                <c:pt idx="166">
                  <c:v>0.13037609512397696</c:v>
                </c:pt>
                <c:pt idx="167">
                  <c:v>0.13116149328737442</c:v>
                </c:pt>
                <c:pt idx="168">
                  <c:v>0.13194689145077187</c:v>
                </c:pt>
                <c:pt idx="169">
                  <c:v>0.13273228961416933</c:v>
                </c:pt>
                <c:pt idx="170">
                  <c:v>0.13351768777756678</c:v>
                </c:pt>
                <c:pt idx="171">
                  <c:v>0.13430308594096424</c:v>
                </c:pt>
                <c:pt idx="172">
                  <c:v>0.13508848410436169</c:v>
                </c:pt>
                <c:pt idx="173">
                  <c:v>0.13587388226775915</c:v>
                </c:pt>
                <c:pt idx="174">
                  <c:v>0.1366592804311566</c:v>
                </c:pt>
                <c:pt idx="175">
                  <c:v>0.13744467859455406</c:v>
                </c:pt>
                <c:pt idx="176">
                  <c:v>0.13823007675795151</c:v>
                </c:pt>
                <c:pt idx="177">
                  <c:v>0.13901547492134897</c:v>
                </c:pt>
                <c:pt idx="178">
                  <c:v>0.13980087308474642</c:v>
                </c:pt>
                <c:pt idx="179">
                  <c:v>0.14058627124814388</c:v>
                </c:pt>
                <c:pt idx="180">
                  <c:v>0.14137166941154133</c:v>
                </c:pt>
                <c:pt idx="181">
                  <c:v>0.14215706757493879</c:v>
                </c:pt>
                <c:pt idx="182">
                  <c:v>0.14294246573833624</c:v>
                </c:pt>
                <c:pt idx="183">
                  <c:v>0.1437278639017337</c:v>
                </c:pt>
                <c:pt idx="184">
                  <c:v>0.14451326206513115</c:v>
                </c:pt>
                <c:pt idx="185">
                  <c:v>0.14529866022852861</c:v>
                </c:pt>
                <c:pt idx="186">
                  <c:v>0.14608405839192606</c:v>
                </c:pt>
                <c:pt idx="187">
                  <c:v>0.14686945655532352</c:v>
                </c:pt>
                <c:pt idx="188">
                  <c:v>0.14765485471872097</c:v>
                </c:pt>
                <c:pt idx="189">
                  <c:v>0.14844025288211843</c:v>
                </c:pt>
                <c:pt idx="190">
                  <c:v>0.14922565104551588</c:v>
                </c:pt>
                <c:pt idx="191">
                  <c:v>0.15001104920891334</c:v>
                </c:pt>
                <c:pt idx="192">
                  <c:v>0.15079644737231079</c:v>
                </c:pt>
                <c:pt idx="193">
                  <c:v>0.15158184553570825</c:v>
                </c:pt>
                <c:pt idx="194">
                  <c:v>0.1523672436991057</c:v>
                </c:pt>
                <c:pt idx="195">
                  <c:v>0.15315264186250316</c:v>
                </c:pt>
                <c:pt idx="196">
                  <c:v>0.15393804002590061</c:v>
                </c:pt>
                <c:pt idx="197">
                  <c:v>0.15472343818929807</c:v>
                </c:pt>
                <c:pt idx="198">
                  <c:v>0.15550883635269552</c:v>
                </c:pt>
                <c:pt idx="199">
                  <c:v>0.15629423451609298</c:v>
                </c:pt>
                <c:pt idx="200">
                  <c:v>0.15707963267949043</c:v>
                </c:pt>
              </c:numCache>
            </c:numRef>
          </c:cat>
          <c:val>
            <c:numRef>
              <c:f>'RLC Transient'!$D$22:$D$222</c:f>
              <c:numCache>
                <c:formatCode>0.0000</c:formatCode>
                <c:ptCount val="201"/>
                <c:pt idx="0">
                  <c:v>0</c:v>
                </c:pt>
                <c:pt idx="1">
                  <c:v>0.26387084948867989</c:v>
                </c:pt>
                <c:pt idx="2">
                  <c:v>0.9050433097519639</c:v>
                </c:pt>
                <c:pt idx="3">
                  <c:v>1.7503611186247436</c:v>
                </c:pt>
                <c:pt idx="4">
                  <c:v>2.6817449566283624</c:v>
                </c:pt>
                <c:pt idx="5">
                  <c:v>3.621274543433457</c:v>
                </c:pt>
                <c:pt idx="6">
                  <c:v>4.5199111961412672</c:v>
                </c:pt>
                <c:pt idx="7">
                  <c:v>5.349044751301653</c:v>
                </c:pt>
                <c:pt idx="8">
                  <c:v>6.0942172032042885</c:v>
                </c:pt>
                <c:pt idx="9">
                  <c:v>6.750512256557113</c:v>
                </c:pt>
                <c:pt idx="10">
                  <c:v>7.3192104116690686</c:v>
                </c:pt>
                <c:pt idx="11">
                  <c:v>7.8053977210407011</c:v>
                </c:pt>
                <c:pt idx="12">
                  <c:v>8.2162868749985822</c:v>
                </c:pt>
                <c:pt idx="13">
                  <c:v>8.5600651043744911</c:v>
                </c:pt>
                <c:pt idx="14">
                  <c:v>8.8451273175286378</c:v>
                </c:pt>
                <c:pt idx="15">
                  <c:v>9.0795872395634607</c:v>
                </c:pt>
                <c:pt idx="16">
                  <c:v>9.2709860117806873</c:v>
                </c:pt>
                <c:pt idx="17">
                  <c:v>9.4261383116997983</c:v>
                </c:pt>
                <c:pt idx="18">
                  <c:v>9.5510718477429162</c:v>
                </c:pt>
                <c:pt idx="19">
                  <c:v>9.6510281019889792</c:v>
                </c:pt>
                <c:pt idx="20">
                  <c:v>9.7305012693661173</c:v>
                </c:pt>
                <c:pt idx="21">
                  <c:v>9.7932991345802733</c:v>
                </c:pt>
                <c:pt idx="22">
                  <c:v>9.8426146640694139</c:v>
                </c:pt>
                <c:pt idx="23">
                  <c:v>9.8811007830872555</c:v>
                </c:pt>
                <c:pt idx="24">
                  <c:v>9.9109434816706035</c:v>
                </c:pt>
                <c:pt idx="25">
                  <c:v>9.9339302998629631</c:v>
                </c:pt>
                <c:pt idx="26">
                  <c:v>9.9515125770783985</c:v>
                </c:pt>
                <c:pt idx="27">
                  <c:v>9.9648607625684473</c:v>
                </c:pt>
                <c:pt idx="28">
                  <c:v>9.9749126877049648</c:v>
                </c:pt>
                <c:pt idx="29">
                  <c:v>9.9824150825285383</c:v>
                </c:pt>
                <c:pt idx="30">
                  <c:v>9.9879588434808042</c:v>
                </c:pt>
                <c:pt idx="31">
                  <c:v>9.992008674551716</c:v>
                </c:pt>
                <c:pt idx="32">
                  <c:v>9.994927765604162</c:v>
                </c:pt>
                <c:pt idx="33">
                  <c:v>9.9969981650808641</c:v>
                </c:pt>
                <c:pt idx="34">
                  <c:v>9.9984374680434698</c:v>
                </c:pt>
                <c:pt idx="35">
                  <c:v>9.9994123874749867</c:v>
                </c:pt>
                <c:pt idx="36">
                  <c:v>10.000049715887986</c:v>
                </c:pt>
                <c:pt idx="37">
                  <c:v>10.000445121459459</c:v>
                </c:pt>
                <c:pt idx="38">
                  <c:v>10.000670161959317</c:v>
                </c:pt>
                <c:pt idx="39">
                  <c:v>10.000777842934571</c:v>
                </c:pt>
                <c:pt idx="40">
                  <c:v>10.000806995175704</c:v>
                </c:pt>
                <c:pt idx="41">
                  <c:v>10.000785700925448</c:v>
                </c:pt>
                <c:pt idx="42">
                  <c:v>10.000733958617225</c:v>
                </c:pt>
                <c:pt idx="43">
                  <c:v>10.000665741877857</c:v>
                </c:pt>
                <c:pt idx="44">
                  <c:v>10.000590579651456</c:v>
                </c:pt>
                <c:pt idx="45">
                  <c:v>10.000514760067059</c:v>
                </c:pt>
                <c:pt idx="46">
                  <c:v>10.000442240522712</c:v>
                </c:pt>
                <c:pt idx="47">
                  <c:v>10.000375329844811</c:v>
                </c:pt>
                <c:pt idx="48">
                  <c:v>10.000315194787436</c:v>
                </c:pt>
                <c:pt idx="49">
                  <c:v>10.000262232093247</c:v>
                </c:pt>
                <c:pt idx="50">
                  <c:v>10.000216338426487</c:v>
                </c:pt>
                <c:pt idx="51">
                  <c:v>10.000177103345171</c:v>
                </c:pt>
                <c:pt idx="52">
                  <c:v>10.000143944788672</c:v>
                </c:pt>
                <c:pt idx="53">
                  <c:v>10.00011620205141</c:v>
                </c:pt>
                <c:pt idx="54">
                  <c:v>10.000093197668331</c:v>
                </c:pt>
                <c:pt idx="55">
                  <c:v>10.000074276865734</c:v>
                </c:pt>
                <c:pt idx="56">
                  <c:v>10.000058831077151</c:v>
                </c:pt>
                <c:pt idx="57">
                  <c:v>10.000046310361398</c:v>
                </c:pt>
                <c:pt idx="58">
                  <c:v>10.000036228285312</c:v>
                </c:pt>
                <c:pt idx="59">
                  <c:v>10.000028161863813</c:v>
                </c:pt>
                <c:pt idx="60">
                  <c:v>10.000021748417547</c:v>
                </c:pt>
                <c:pt idx="61">
                  <c:v>10.000016680660121</c:v>
                </c:pt>
                <c:pt idx="62">
                  <c:v>10.000012700920681</c:v>
                </c:pt>
                <c:pt idx="63">
                  <c:v>10.000009595109445</c:v>
                </c:pt>
                <c:pt idx="64">
                  <c:v>10.000007186818065</c:v>
                </c:pt>
                <c:pt idx="65">
                  <c:v>10.000005331792927</c:v>
                </c:pt>
                <c:pt idx="66">
                  <c:v>10.000003912911637</c:v>
                </c:pt>
                <c:pt idx="67">
                  <c:v>10.000002835719508</c:v>
                </c:pt>
                <c:pt idx="68">
                  <c:v>10.000002024534</c:v>
                </c:pt>
                <c:pt idx="69">
                  <c:v>10.000001419094355</c:v>
                </c:pt>
                <c:pt idx="70">
                  <c:v>10.000000971715522</c:v>
                </c:pt>
                <c:pt idx="71">
                  <c:v>10.000000644896108</c:v>
                </c:pt>
                <c:pt idx="72">
                  <c:v>10.000000409326868</c:v>
                </c:pt>
                <c:pt idx="73">
                  <c:v>10.00000024224663</c:v>
                </c:pt>
                <c:pt idx="74">
                  <c:v>10.000000126095575</c:v>
                </c:pt>
                <c:pt idx="75">
                  <c:v>10.000000047420048</c:v>
                </c:pt>
                <c:pt idx="76">
                  <c:v>9.9999999959879524</c:v>
                </c:pt>
                <c:pt idx="77">
                  <c:v>9.9999999640789135</c:v>
                </c:pt>
                <c:pt idx="78">
                  <c:v>9.9999999459182529</c:v>
                </c:pt>
                <c:pt idx="79">
                  <c:v>9.9999999372284503</c:v>
                </c:pt>
                <c:pt idx="80">
                  <c:v>9.9999999348758788</c:v>
                </c:pt>
                <c:pt idx="81">
                  <c:v>9.999999936594314</c:v>
                </c:pt>
                <c:pt idx="82">
                  <c:v>9.999999940769893</c:v>
                </c:pt>
                <c:pt idx="83">
                  <c:v>9.9999999462749507</c:v>
                </c:pt>
                <c:pt idx="84">
                  <c:v>9.9999999523405076</c:v>
                </c:pt>
                <c:pt idx="85">
                  <c:v>9.9999999584591102</c:v>
                </c:pt>
                <c:pt idx="86">
                  <c:v>9.999999964311403</c:v>
                </c:pt>
                <c:pt idx="87">
                  <c:v>9.9999999697110624</c:v>
                </c:pt>
                <c:pt idx="88">
                  <c:v>9.9999999745639325</c:v>
                </c:pt>
                <c:pt idx="89">
                  <c:v>9.9999999788379963</c:v>
                </c:pt>
                <c:pt idx="90">
                  <c:v>9.9999999825415937</c:v>
                </c:pt>
                <c:pt idx="91">
                  <c:v>9.999999985707845</c:v>
                </c:pt>
                <c:pt idx="92">
                  <c:v>9.9999999883837258</c:v>
                </c:pt>
                <c:pt idx="93">
                  <c:v>9.9999999906225501</c:v>
                </c:pt>
                <c:pt idx="94">
                  <c:v>9.9999999924789922</c:v>
                </c:pt>
                <c:pt idx="95">
                  <c:v>9.9999999940058935</c:v>
                </c:pt>
                <c:pt idx="96">
                  <c:v>9.9999999952523595</c:v>
                </c:pt>
                <c:pt idx="97">
                  <c:v>9.9999999962627761</c:v>
                </c:pt>
                <c:pt idx="98">
                  <c:v>9.9999999970763955</c:v>
                </c:pt>
                <c:pt idx="99">
                  <c:v>9.9999999977273504</c:v>
                </c:pt>
                <c:pt idx="100">
                  <c:v>9.9999999982449133</c:v>
                </c:pt>
                <c:pt idx="101">
                  <c:v>9.9999999986538786</c:v>
                </c:pt>
                <c:pt idx="102">
                  <c:v>9.9999999989750421</c:v>
                </c:pt>
                <c:pt idx="103">
                  <c:v>9.9999999992256789</c:v>
                </c:pt>
                <c:pt idx="104">
                  <c:v>9.9999999994200266</c:v>
                </c:pt>
                <c:pt idx="105">
                  <c:v>9.9999999995697273</c:v>
                </c:pt>
                <c:pt idx="106">
                  <c:v>9.9999999996842313</c:v>
                </c:pt>
                <c:pt idx="107">
                  <c:v>9.9999999997711591</c:v>
                </c:pt>
                <c:pt idx="108">
                  <c:v>9.9999999998366214</c:v>
                </c:pt>
                <c:pt idx="109">
                  <c:v>9.9999999998854801</c:v>
                </c:pt>
                <c:pt idx="110">
                  <c:v>9.9999999999215827</c:v>
                </c:pt>
                <c:pt idx="111">
                  <c:v>9.9999999999479563</c:v>
                </c:pt>
                <c:pt idx="112">
                  <c:v>9.9999999999669669</c:v>
                </c:pt>
                <c:pt idx="113">
                  <c:v>9.9999999999804512</c:v>
                </c:pt>
                <c:pt idx="114">
                  <c:v>9.9999999999898233</c:v>
                </c:pt>
                <c:pt idx="115">
                  <c:v>9.9999999999961737</c:v>
                </c:pt>
                <c:pt idx="116">
                  <c:v>10.000000000000323</c:v>
                </c:pt>
                <c:pt idx="117">
                  <c:v>10.000000000002899</c:v>
                </c:pt>
                <c:pt idx="118">
                  <c:v>10.000000000004366</c:v>
                </c:pt>
                <c:pt idx="119">
                  <c:v>10.000000000005064</c:v>
                </c:pt>
                <c:pt idx="120">
                  <c:v>10.000000000005256</c:v>
                </c:pt>
                <c:pt idx="121">
                  <c:v>10.000000000005116</c:v>
                </c:pt>
                <c:pt idx="122">
                  <c:v>10.00000000000478</c:v>
                </c:pt>
                <c:pt idx="123">
                  <c:v>10.000000000004336</c:v>
                </c:pt>
                <c:pt idx="124">
                  <c:v>10.000000000003846</c:v>
                </c:pt>
                <c:pt idx="125">
                  <c:v>10.000000000003354</c:v>
                </c:pt>
                <c:pt idx="126">
                  <c:v>10.000000000002879</c:v>
                </c:pt>
                <c:pt idx="127">
                  <c:v>10.000000000002444</c:v>
                </c:pt>
                <c:pt idx="128">
                  <c:v>10.000000000002052</c:v>
                </c:pt>
                <c:pt idx="129">
                  <c:v>10.000000000001707</c:v>
                </c:pt>
                <c:pt idx="130">
                  <c:v>10.00000000000141</c:v>
                </c:pt>
                <c:pt idx="131">
                  <c:v>10.000000000001153</c:v>
                </c:pt>
                <c:pt idx="132">
                  <c:v>10.000000000000938</c:v>
                </c:pt>
                <c:pt idx="133">
                  <c:v>10.000000000000757</c:v>
                </c:pt>
                <c:pt idx="134">
                  <c:v>10.000000000000606</c:v>
                </c:pt>
                <c:pt idx="135">
                  <c:v>10.000000000000483</c:v>
                </c:pt>
                <c:pt idx="136">
                  <c:v>10.000000000000384</c:v>
                </c:pt>
                <c:pt idx="137">
                  <c:v>10.000000000000302</c:v>
                </c:pt>
                <c:pt idx="138">
                  <c:v>10.000000000000234</c:v>
                </c:pt>
                <c:pt idx="139">
                  <c:v>10.000000000000185</c:v>
                </c:pt>
                <c:pt idx="140">
                  <c:v>10.000000000000142</c:v>
                </c:pt>
                <c:pt idx="141">
                  <c:v>10.000000000000108</c:v>
                </c:pt>
                <c:pt idx="142">
                  <c:v>10.000000000000082</c:v>
                </c:pt>
                <c:pt idx="143">
                  <c:v>10.000000000000062</c:v>
                </c:pt>
                <c:pt idx="144">
                  <c:v>10.000000000000046</c:v>
                </c:pt>
                <c:pt idx="145">
                  <c:v>10.000000000000036</c:v>
                </c:pt>
                <c:pt idx="146">
                  <c:v>10.000000000000025</c:v>
                </c:pt>
                <c:pt idx="147">
                  <c:v>10.000000000000018</c:v>
                </c:pt>
                <c:pt idx="148">
                  <c:v>10.000000000000014</c:v>
                </c:pt>
                <c:pt idx="149">
                  <c:v>10.000000000000009</c:v>
                </c:pt>
                <c:pt idx="150">
                  <c:v>10.000000000000007</c:v>
                </c:pt>
                <c:pt idx="151">
                  <c:v>10.000000000000004</c:v>
                </c:pt>
                <c:pt idx="152">
                  <c:v>10.000000000000002</c:v>
                </c:pt>
                <c:pt idx="153">
                  <c:v>10.000000000000002</c:v>
                </c:pt>
                <c:pt idx="154">
                  <c:v>10</c:v>
                </c:pt>
                <c:pt idx="155">
                  <c:v>10</c:v>
                </c:pt>
                <c:pt idx="156">
                  <c:v>10</c:v>
                </c:pt>
                <c:pt idx="157">
                  <c:v>10</c:v>
                </c:pt>
                <c:pt idx="158">
                  <c:v>10</c:v>
                </c:pt>
                <c:pt idx="159">
                  <c:v>10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10</c:v>
                </c:pt>
                <c:pt idx="165">
                  <c:v>10</c:v>
                </c:pt>
                <c:pt idx="166">
                  <c:v>10</c:v>
                </c:pt>
                <c:pt idx="167">
                  <c:v>10</c:v>
                </c:pt>
                <c:pt idx="168">
                  <c:v>10</c:v>
                </c:pt>
                <c:pt idx="169">
                  <c:v>10</c:v>
                </c:pt>
                <c:pt idx="170">
                  <c:v>10</c:v>
                </c:pt>
                <c:pt idx="171">
                  <c:v>10</c:v>
                </c:pt>
                <c:pt idx="172">
                  <c:v>10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10</c:v>
                </c:pt>
                <c:pt idx="178">
                  <c:v>10</c:v>
                </c:pt>
                <c:pt idx="179">
                  <c:v>10</c:v>
                </c:pt>
                <c:pt idx="180">
                  <c:v>10</c:v>
                </c:pt>
                <c:pt idx="181">
                  <c:v>10</c:v>
                </c:pt>
                <c:pt idx="182">
                  <c:v>10</c:v>
                </c:pt>
                <c:pt idx="183">
                  <c:v>10</c:v>
                </c:pt>
                <c:pt idx="184">
                  <c:v>10</c:v>
                </c:pt>
                <c:pt idx="185">
                  <c:v>10</c:v>
                </c:pt>
                <c:pt idx="186">
                  <c:v>10</c:v>
                </c:pt>
                <c:pt idx="187">
                  <c:v>10</c:v>
                </c:pt>
                <c:pt idx="188">
                  <c:v>10</c:v>
                </c:pt>
                <c:pt idx="189">
                  <c:v>10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99C-4EB9-AA98-992E28CC95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3816162"/>
        <c:axId val="29118504"/>
      </c:lineChart>
      <c:catAx>
        <c:axId val="338161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Time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18504"/>
        <c:crosses val="autoZero"/>
        <c:auto val="1"/>
        <c:lblAlgn val="ctr"/>
        <c:lblOffset val="100"/>
        <c:noMultiLvlLbl val="0"/>
      </c:catAx>
      <c:valAx>
        <c:axId val="291185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Voltage (V)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8161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403860</xdr:colOff>
      <xdr:row>0</xdr:row>
      <xdr:rowOff>153300</xdr:rowOff>
    </xdr:from>
    <xdr:to>
      <xdr:col>10</xdr:col>
      <xdr:colOff>436980</xdr:colOff>
      <xdr:row>18</xdr:row>
      <xdr:rowOff>293160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2"/>
  <sheetViews>
    <sheetView tabSelected="1" zoomScaleNormal="100" workbookViewId="0">
      <selection activeCell="B6" sqref="B6"/>
    </sheetView>
  </sheetViews>
  <sheetFormatPr baseColWidth="10" defaultColWidth="8.6640625" defaultRowHeight="15" x14ac:dyDescent="0.2"/>
  <cols>
    <col min="1" max="1" width="34" customWidth="1"/>
    <col min="2" max="4" width="30" customWidth="1"/>
  </cols>
  <sheetData>
    <row r="1" spans="1:2" ht="18" x14ac:dyDescent="0.2">
      <c r="A1" s="1" t="s">
        <v>0</v>
      </c>
    </row>
    <row r="2" spans="1:2" x14ac:dyDescent="0.2">
      <c r="A2" s="2" t="s">
        <v>1</v>
      </c>
    </row>
    <row r="4" spans="1:2" x14ac:dyDescent="0.2">
      <c r="A4" s="3" t="s">
        <v>2</v>
      </c>
    </row>
    <row r="5" spans="1:2" x14ac:dyDescent="0.2">
      <c r="A5" s="4" t="s">
        <v>3</v>
      </c>
      <c r="B5" s="5">
        <v>60</v>
      </c>
    </row>
    <row r="6" spans="1:2" x14ac:dyDescent="0.2">
      <c r="A6" s="4" t="s">
        <v>4</v>
      </c>
      <c r="B6" s="5">
        <v>0.1</v>
      </c>
    </row>
    <row r="7" spans="1:2" x14ac:dyDescent="0.2">
      <c r="A7" s="4" t="s">
        <v>5</v>
      </c>
      <c r="B7" s="5">
        <v>1E-4</v>
      </c>
    </row>
    <row r="8" spans="1:2" x14ac:dyDescent="0.2">
      <c r="A8" s="4" t="s">
        <v>6</v>
      </c>
      <c r="B8" s="5">
        <v>10</v>
      </c>
    </row>
    <row r="10" spans="1:2" x14ac:dyDescent="0.2">
      <c r="A10" s="3" t="s">
        <v>7</v>
      </c>
    </row>
    <row r="11" spans="1:2" x14ac:dyDescent="0.2">
      <c r="A11" s="4" t="s">
        <v>8</v>
      </c>
      <c r="B11" s="6">
        <f>$B$5/(2*$B$6)</f>
        <v>300</v>
      </c>
    </row>
    <row r="12" spans="1:2" x14ac:dyDescent="0.2">
      <c r="A12" s="4" t="s">
        <v>9</v>
      </c>
      <c r="B12" s="6">
        <f>1/SQRT($B$6*$B$7)</f>
        <v>316.2277660168379</v>
      </c>
    </row>
    <row r="13" spans="1:2" x14ac:dyDescent="0.2">
      <c r="A13" s="4" t="s">
        <v>10</v>
      </c>
      <c r="B13" s="6">
        <f>SQRT($B$12^2-$B$11^2)</f>
        <v>99.999999999999929</v>
      </c>
    </row>
    <row r="14" spans="1:2" x14ac:dyDescent="0.2">
      <c r="A14" s="4" t="s">
        <v>11</v>
      </c>
      <c r="B14" s="7">
        <f>2*PI()/$B$13</f>
        <v>6.283185307179591E-2</v>
      </c>
    </row>
    <row r="15" spans="1:2" x14ac:dyDescent="0.2">
      <c r="A15" s="4" t="s">
        <v>12</v>
      </c>
      <c r="B15" s="7">
        <f>2.5*$B$14</f>
        <v>0.15707963267948977</v>
      </c>
    </row>
    <row r="16" spans="1:2" x14ac:dyDescent="0.2">
      <c r="A16" s="4" t="s">
        <v>13</v>
      </c>
      <c r="B16" s="5">
        <v>200</v>
      </c>
    </row>
    <row r="17" spans="1:4" x14ac:dyDescent="0.2">
      <c r="A17" s="4" t="s">
        <v>14</v>
      </c>
      <c r="B17" s="7">
        <f>$B$15/$B$16</f>
        <v>7.8539816339744887E-4</v>
      </c>
    </row>
    <row r="19" spans="1:4" ht="45" customHeight="1" x14ac:dyDescent="0.2">
      <c r="A19" s="9" t="s">
        <v>15</v>
      </c>
      <c r="B19" s="9"/>
      <c r="C19" s="9"/>
      <c r="D19" s="9"/>
    </row>
    <row r="21" spans="1:4" ht="30" customHeight="1" x14ac:dyDescent="0.2">
      <c r="A21" s="8" t="s">
        <v>16</v>
      </c>
      <c r="B21" s="8" t="s">
        <v>17</v>
      </c>
      <c r="C21" s="8" t="s">
        <v>18</v>
      </c>
      <c r="D21" s="8" t="s">
        <v>19</v>
      </c>
    </row>
    <row r="22" spans="1:4" x14ac:dyDescent="0.2">
      <c r="A22" s="7">
        <v>0</v>
      </c>
      <c r="B22" s="6">
        <f t="shared" ref="B22:B85" si="0">(($B$8/($B$6*$B$13))*EXP(-$B$11*A22)*SIN($B$13*A22))*$B$5</f>
        <v>0</v>
      </c>
      <c r="C22" s="6">
        <f t="shared" ref="C22:C85" si="1">$B$8-B22-D22</f>
        <v>10</v>
      </c>
      <c r="D22" s="6">
        <f t="shared" ref="D22:D85" si="2">$B$8*(1-EXP(-$B$11*A22)*(COS($B$13*A22)+($B$11/$B$13)*SIN($B$13*A22)))</f>
        <v>0</v>
      </c>
    </row>
    <row r="23" spans="1:4" x14ac:dyDescent="0.2">
      <c r="A23" s="7">
        <f t="shared" ref="A23:A54" si="3">A22+$B$17</f>
        <v>7.8539816339744887E-4</v>
      </c>
      <c r="B23" s="6">
        <f t="shared" si="0"/>
        <v>3.7193437806475163</v>
      </c>
      <c r="C23" s="6">
        <f t="shared" si="1"/>
        <v>6.0167853698638032</v>
      </c>
      <c r="D23" s="6">
        <f t="shared" si="2"/>
        <v>0.26387084948867989</v>
      </c>
    </row>
    <row r="24" spans="1:4" x14ac:dyDescent="0.2">
      <c r="A24" s="7">
        <f t="shared" si="3"/>
        <v>1.5707963267948977E-3</v>
      </c>
      <c r="B24" s="6">
        <f t="shared" si="0"/>
        <v>5.8590504648429169</v>
      </c>
      <c r="C24" s="6">
        <f t="shared" si="1"/>
        <v>3.2359062254051194</v>
      </c>
      <c r="D24" s="6">
        <f t="shared" si="2"/>
        <v>0.9050433097519639</v>
      </c>
    </row>
    <row r="25" spans="1:4" x14ac:dyDescent="0.2">
      <c r="A25" s="7">
        <f t="shared" si="3"/>
        <v>2.3561944901923466E-3</v>
      </c>
      <c r="B25" s="6">
        <f t="shared" si="0"/>
        <v>6.9079919719293121</v>
      </c>
      <c r="C25" s="6">
        <f t="shared" si="1"/>
        <v>1.3416469094459442</v>
      </c>
      <c r="D25" s="6">
        <f t="shared" si="2"/>
        <v>1.7503611186247436</v>
      </c>
    </row>
    <row r="26" spans="1:4" x14ac:dyDescent="0.2">
      <c r="A26" s="7">
        <f t="shared" si="3"/>
        <v>3.1415926535897955E-3</v>
      </c>
      <c r="B26" s="6">
        <f t="shared" si="0"/>
        <v>7.2247148097871889</v>
      </c>
      <c r="C26" s="6">
        <f t="shared" si="1"/>
        <v>9.3540233584448629E-2</v>
      </c>
      <c r="D26" s="6">
        <f t="shared" si="2"/>
        <v>2.6817449566283624</v>
      </c>
    </row>
    <row r="27" spans="1:4" x14ac:dyDescent="0.2">
      <c r="A27" s="7">
        <f t="shared" si="3"/>
        <v>3.9269908169872443E-3</v>
      </c>
      <c r="B27" s="6">
        <f t="shared" si="0"/>
        <v>7.0688664749722543</v>
      </c>
      <c r="C27" s="6">
        <f t="shared" si="1"/>
        <v>-0.69014101840571129</v>
      </c>
      <c r="D27" s="6">
        <f t="shared" si="2"/>
        <v>3.621274543433457</v>
      </c>
    </row>
    <row r="28" spans="1:4" x14ac:dyDescent="0.2">
      <c r="A28" s="7">
        <f t="shared" si="3"/>
        <v>4.7123889803846932E-3</v>
      </c>
      <c r="B28" s="6">
        <f t="shared" si="0"/>
        <v>6.6256525243472533</v>
      </c>
      <c r="C28" s="6">
        <f t="shared" si="1"/>
        <v>-1.1455637204885205</v>
      </c>
      <c r="D28" s="6">
        <f t="shared" si="2"/>
        <v>4.5199111961412672</v>
      </c>
    </row>
    <row r="29" spans="1:4" x14ac:dyDescent="0.2">
      <c r="A29" s="7">
        <f t="shared" si="3"/>
        <v>5.4977871437821421E-3</v>
      </c>
      <c r="B29" s="6">
        <f t="shared" si="0"/>
        <v>6.0247463384321795</v>
      </c>
      <c r="C29" s="6">
        <f t="shared" si="1"/>
        <v>-1.3737910897338326</v>
      </c>
      <c r="D29" s="6">
        <f t="shared" si="2"/>
        <v>5.349044751301653</v>
      </c>
    </row>
    <row r="30" spans="1:4" x14ac:dyDescent="0.2">
      <c r="A30" s="7">
        <f t="shared" si="3"/>
        <v>6.283185307179591E-3</v>
      </c>
      <c r="B30" s="6">
        <f t="shared" si="0"/>
        <v>5.3548107104535392</v>
      </c>
      <c r="C30" s="6">
        <f t="shared" si="1"/>
        <v>-1.4490279136578277</v>
      </c>
      <c r="D30" s="6">
        <f t="shared" si="2"/>
        <v>6.0942172032042885</v>
      </c>
    </row>
    <row r="31" spans="1:4" x14ac:dyDescent="0.2">
      <c r="A31" s="7">
        <f t="shared" si="3"/>
        <v>7.0685834705770398E-3</v>
      </c>
      <c r="B31" s="6">
        <f t="shared" si="0"/>
        <v>4.6745695694869029</v>
      </c>
      <c r="C31" s="6">
        <f t="shared" si="1"/>
        <v>-1.4250818260440159</v>
      </c>
      <c r="D31" s="6">
        <f t="shared" si="2"/>
        <v>6.750512256557113</v>
      </c>
    </row>
    <row r="32" spans="1:4" x14ac:dyDescent="0.2">
      <c r="A32" s="7">
        <f t="shared" si="3"/>
        <v>7.8539816339744887E-3</v>
      </c>
      <c r="B32" s="6">
        <f t="shared" si="0"/>
        <v>4.021184382496398</v>
      </c>
      <c r="C32" s="6">
        <f t="shared" si="1"/>
        <v>-1.3403947941654666</v>
      </c>
      <c r="D32" s="6">
        <f t="shared" si="2"/>
        <v>7.3192104116690686</v>
      </c>
    </row>
    <row r="33" spans="1:4" x14ac:dyDescent="0.2">
      <c r="A33" s="7">
        <f t="shared" si="3"/>
        <v>8.6393797973719384E-3</v>
      </c>
      <c r="B33" s="6">
        <f t="shared" si="0"/>
        <v>3.4165381444712404</v>
      </c>
      <c r="C33" s="6">
        <f t="shared" si="1"/>
        <v>-1.2219358655119414</v>
      </c>
      <c r="D33" s="6">
        <f t="shared" si="2"/>
        <v>7.8053977210407011</v>
      </c>
    </row>
    <row r="34" spans="1:4" x14ac:dyDescent="0.2">
      <c r="A34" s="7">
        <f t="shared" si="3"/>
        <v>9.4247779607693864E-3</v>
      </c>
      <c r="B34" s="6">
        <f t="shared" si="0"/>
        <v>2.8719057060478326</v>
      </c>
      <c r="C34" s="6">
        <f t="shared" si="1"/>
        <v>-1.0881925810464148</v>
      </c>
      <c r="D34" s="6">
        <f t="shared" si="2"/>
        <v>8.2162868749985822</v>
      </c>
    </row>
    <row r="35" spans="1:4" x14ac:dyDescent="0.2">
      <c r="A35" s="7">
        <f t="shared" si="3"/>
        <v>1.0210176124166834E-2</v>
      </c>
      <c r="B35" s="6">
        <f t="shared" si="0"/>
        <v>2.3913882553710346</v>
      </c>
      <c r="C35" s="6">
        <f t="shared" si="1"/>
        <v>-0.9514533597455257</v>
      </c>
      <c r="D35" s="6">
        <f t="shared" si="2"/>
        <v>8.5600651043744911</v>
      </c>
    </row>
    <row r="36" spans="1:4" x14ac:dyDescent="0.2">
      <c r="A36" s="7">
        <f t="shared" si="3"/>
        <v>1.0995574287564282E-2</v>
      </c>
      <c r="B36" s="6">
        <f t="shared" si="0"/>
        <v>1.974408276716265</v>
      </c>
      <c r="C36" s="6">
        <f t="shared" si="1"/>
        <v>-0.8195355942449023</v>
      </c>
      <c r="D36" s="6">
        <f t="shared" si="2"/>
        <v>8.8451273175286378</v>
      </c>
    </row>
    <row r="37" spans="1:4" x14ac:dyDescent="0.2">
      <c r="A37" s="7">
        <f t="shared" si="3"/>
        <v>1.178097245096173E-2</v>
      </c>
      <c r="B37" s="6">
        <f t="shared" si="0"/>
        <v>1.6174959362474002</v>
      </c>
      <c r="C37" s="6">
        <f t="shared" si="1"/>
        <v>-0.69708317581086021</v>
      </c>
      <c r="D37" s="6">
        <f t="shared" si="2"/>
        <v>9.0795872395634607</v>
      </c>
    </row>
    <row r="38" spans="1:4" x14ac:dyDescent="0.2">
      <c r="A38" s="7">
        <f t="shared" si="3"/>
        <v>1.2566370614359178E-2</v>
      </c>
      <c r="B38" s="6">
        <f t="shared" si="0"/>
        <v>1.3155457361185772</v>
      </c>
      <c r="C38" s="6">
        <f t="shared" si="1"/>
        <v>-0.5865317478992651</v>
      </c>
      <c r="D38" s="6">
        <f t="shared" si="2"/>
        <v>9.2709860117806873</v>
      </c>
    </row>
    <row r="39" spans="1:4" x14ac:dyDescent="0.2">
      <c r="A39" s="7">
        <f t="shared" si="3"/>
        <v>1.3351768777756626E-2</v>
      </c>
      <c r="B39" s="6">
        <f t="shared" si="0"/>
        <v>1.0626809981553511</v>
      </c>
      <c r="C39" s="6">
        <f t="shared" si="1"/>
        <v>-0.48881930985514899</v>
      </c>
      <c r="D39" s="6">
        <f t="shared" si="2"/>
        <v>9.4261383116997983</v>
      </c>
    </row>
    <row r="40" spans="1:4" x14ac:dyDescent="0.2">
      <c r="A40" s="7">
        <f t="shared" si="3"/>
        <v>1.4137166941154074E-2</v>
      </c>
      <c r="B40" s="6">
        <f t="shared" si="0"/>
        <v>0.8528312383864618</v>
      </c>
      <c r="C40" s="6">
        <f t="shared" si="1"/>
        <v>-0.40390308612937709</v>
      </c>
      <c r="D40" s="6">
        <f t="shared" si="2"/>
        <v>9.5510718477429162</v>
      </c>
    </row>
    <row r="41" spans="1:4" x14ac:dyDescent="0.2">
      <c r="A41" s="7">
        <f t="shared" si="3"/>
        <v>1.4922565104551522E-2</v>
      </c>
      <c r="B41" s="6">
        <f t="shared" si="0"/>
        <v>0.68010206491414649</v>
      </c>
      <c r="C41" s="6">
        <f t="shared" si="1"/>
        <v>-0.33113016690312591</v>
      </c>
      <c r="D41" s="6">
        <f t="shared" si="2"/>
        <v>9.6510281019889792</v>
      </c>
    </row>
    <row r="42" spans="1:4" x14ac:dyDescent="0.2">
      <c r="A42" s="7">
        <f t="shared" si="3"/>
        <v>1.570796326794897E-2</v>
      </c>
      <c r="B42" s="6">
        <f t="shared" si="0"/>
        <v>0.53899746126776515</v>
      </c>
      <c r="C42" s="6">
        <f t="shared" si="1"/>
        <v>-0.26949873063388274</v>
      </c>
      <c r="D42" s="6">
        <f t="shared" si="2"/>
        <v>9.7305012693661173</v>
      </c>
    </row>
    <row r="43" spans="1:4" x14ac:dyDescent="0.2">
      <c r="A43" s="7">
        <f t="shared" si="3"/>
        <v>1.6493361431346418E-2</v>
      </c>
      <c r="B43" s="6">
        <f t="shared" si="0"/>
        <v>0.42453904670251563</v>
      </c>
      <c r="C43" s="6">
        <f t="shared" si="1"/>
        <v>-0.21783818128278831</v>
      </c>
      <c r="D43" s="6">
        <f t="shared" si="2"/>
        <v>9.7932991345802733</v>
      </c>
    </row>
    <row r="44" spans="1:4" x14ac:dyDescent="0.2">
      <c r="A44" s="7">
        <f t="shared" si="3"/>
        <v>1.7278759594743866E-2</v>
      </c>
      <c r="B44" s="6">
        <f t="shared" si="0"/>
        <v>0.33231519033889456</v>
      </c>
      <c r="C44" s="6">
        <f t="shared" si="1"/>
        <v>-0.17492985440830822</v>
      </c>
      <c r="D44" s="6">
        <f t="shared" si="2"/>
        <v>9.8426146640694139</v>
      </c>
    </row>
    <row r="45" spans="1:4" x14ac:dyDescent="0.2">
      <c r="A45" s="7">
        <f t="shared" si="3"/>
        <v>1.8064157758141314E-2</v>
      </c>
      <c r="B45" s="6">
        <f t="shared" si="0"/>
        <v>0.25848393457731106</v>
      </c>
      <c r="C45" s="6">
        <f t="shared" si="1"/>
        <v>-0.13958471766456704</v>
      </c>
      <c r="D45" s="6">
        <f t="shared" si="2"/>
        <v>9.8811007830872555</v>
      </c>
    </row>
    <row r="46" spans="1:4" x14ac:dyDescent="0.2">
      <c r="A46" s="7">
        <f t="shared" si="3"/>
        <v>1.8849555921538762E-2</v>
      </c>
      <c r="B46" s="6">
        <f t="shared" si="0"/>
        <v>0.19974694188578754</v>
      </c>
      <c r="C46" s="6">
        <f t="shared" si="1"/>
        <v>-0.11069042355639169</v>
      </c>
      <c r="D46" s="6">
        <f t="shared" si="2"/>
        <v>9.9109434816706035</v>
      </c>
    </row>
    <row r="47" spans="1:4" x14ac:dyDescent="0.2">
      <c r="A47" s="7">
        <f t="shared" si="3"/>
        <v>1.963495408493621E-2</v>
      </c>
      <c r="B47" s="6">
        <f t="shared" si="0"/>
        <v>0.1533066285188005</v>
      </c>
      <c r="C47" s="6">
        <f t="shared" si="1"/>
        <v>-8.7236928381763335E-2</v>
      </c>
      <c r="D47" s="6">
        <f t="shared" si="2"/>
        <v>9.9339302998629631</v>
      </c>
    </row>
    <row r="48" spans="1:4" x14ac:dyDescent="0.2">
      <c r="A48" s="7">
        <f t="shared" si="3"/>
        <v>2.0420352248333658E-2</v>
      </c>
      <c r="B48" s="6">
        <f t="shared" si="0"/>
        <v>0.11681490078689986</v>
      </c>
      <c r="C48" s="6">
        <f t="shared" si="1"/>
        <v>-6.8327477865297581E-2</v>
      </c>
      <c r="D48" s="6">
        <f t="shared" si="2"/>
        <v>9.9515125770783985</v>
      </c>
    </row>
    <row r="49" spans="1:4" x14ac:dyDescent="0.2">
      <c r="A49" s="7">
        <f t="shared" si="3"/>
        <v>2.1205750411731106E-2</v>
      </c>
      <c r="B49" s="6">
        <f t="shared" si="0"/>
        <v>8.8319158091979516E-2</v>
      </c>
      <c r="C49" s="6">
        <f t="shared" si="1"/>
        <v>-5.3179920660426205E-2</v>
      </c>
      <c r="D49" s="6">
        <f t="shared" si="2"/>
        <v>9.9648607625684473</v>
      </c>
    </row>
    <row r="50" spans="1:4" x14ac:dyDescent="0.2">
      <c r="A50" s="7">
        <f t="shared" si="3"/>
        <v>2.1991148575128554E-2</v>
      </c>
      <c r="B50" s="6">
        <f t="shared" si="0"/>
        <v>6.6209232248425384E-2</v>
      </c>
      <c r="C50" s="6">
        <f t="shared" si="1"/>
        <v>-4.1121919953390318E-2</v>
      </c>
      <c r="D50" s="6">
        <f t="shared" si="2"/>
        <v>9.9749126877049648</v>
      </c>
    </row>
    <row r="51" spans="1:4" x14ac:dyDescent="0.2">
      <c r="A51" s="7">
        <f t="shared" si="3"/>
        <v>2.2776546738526002E-2</v>
      </c>
      <c r="B51" s="6">
        <f t="shared" si="0"/>
        <v>4.9167507889994209E-2</v>
      </c>
      <c r="C51" s="6">
        <f t="shared" si="1"/>
        <v>-3.1582590418532064E-2</v>
      </c>
      <c r="D51" s="6">
        <f t="shared" si="2"/>
        <v>9.9824150825285383</v>
      </c>
    </row>
    <row r="52" spans="1:4" x14ac:dyDescent="0.2">
      <c r="A52" s="7">
        <f t="shared" si="3"/>
        <v>2.356194490192345E-2</v>
      </c>
      <c r="B52" s="6">
        <f t="shared" si="0"/>
        <v>3.6123469557585872E-2</v>
      </c>
      <c r="C52" s="6">
        <f t="shared" si="1"/>
        <v>-2.4082313038389813E-2</v>
      </c>
      <c r="D52" s="6">
        <f t="shared" si="2"/>
        <v>9.9879588434808042</v>
      </c>
    </row>
    <row r="53" spans="1:4" x14ac:dyDescent="0.2">
      <c r="A53" s="7">
        <f t="shared" si="3"/>
        <v>2.4347343065320898E-2</v>
      </c>
      <c r="B53" s="6">
        <f t="shared" si="0"/>
        <v>2.6213236375427568E-2</v>
      </c>
      <c r="C53" s="6">
        <f t="shared" si="1"/>
        <v>-1.8221910927143981E-2</v>
      </c>
      <c r="D53" s="6">
        <f t="shared" si="2"/>
        <v>9.992008674551716</v>
      </c>
    </row>
    <row r="54" spans="1:4" x14ac:dyDescent="0.2">
      <c r="A54" s="7">
        <f t="shared" si="3"/>
        <v>2.5132741228718346E-2</v>
      </c>
      <c r="B54" s="6">
        <f t="shared" si="0"/>
        <v>1.8744190372566215E-2</v>
      </c>
      <c r="C54" s="6">
        <f t="shared" si="1"/>
        <v>-1.3671955976727546E-2</v>
      </c>
      <c r="D54" s="6">
        <f t="shared" si="2"/>
        <v>9.994927765604162</v>
      </c>
    </row>
    <row r="55" spans="1:4" x14ac:dyDescent="0.2">
      <c r="A55" s="7">
        <f t="shared" ref="A55:A86" si="4">A54+$B$17</f>
        <v>2.5918139392115794E-2</v>
      </c>
      <c r="B55" s="6">
        <f t="shared" si="0"/>
        <v>1.3164515385774541E-2</v>
      </c>
      <c r="C55" s="6">
        <f t="shared" si="1"/>
        <v>-1.0162680466638818E-2</v>
      </c>
      <c r="D55" s="6">
        <f t="shared" si="2"/>
        <v>9.9969981650808641</v>
      </c>
    </row>
    <row r="56" spans="1:4" x14ac:dyDescent="0.2">
      <c r="A56" s="7">
        <f t="shared" si="4"/>
        <v>2.6703537555513242E-2</v>
      </c>
      <c r="B56" s="6">
        <f t="shared" si="0"/>
        <v>9.0372919611493366E-3</v>
      </c>
      <c r="C56" s="6">
        <f t="shared" si="1"/>
        <v>-7.4747600046194407E-3</v>
      </c>
      <c r="D56" s="6">
        <f t="shared" si="2"/>
        <v>9.9984374680434698</v>
      </c>
    </row>
    <row r="57" spans="1:4" x14ac:dyDescent="0.2">
      <c r="A57" s="7">
        <f t="shared" si="4"/>
        <v>2.748893571891069E-2</v>
      </c>
      <c r="B57" s="6">
        <f t="shared" si="0"/>
        <v>6.0187039569613455E-3</v>
      </c>
      <c r="C57" s="6">
        <f t="shared" si="1"/>
        <v>-5.4310914319479764E-3</v>
      </c>
      <c r="D57" s="6">
        <f t="shared" si="2"/>
        <v>9.9994123874749867</v>
      </c>
    </row>
    <row r="58" spans="1:4" x14ac:dyDescent="0.2">
      <c r="A58" s="7">
        <f t="shared" si="4"/>
        <v>2.8274333882308138E-2</v>
      </c>
      <c r="B58" s="6">
        <f t="shared" si="0"/>
        <v>3.839878290412501E-3</v>
      </c>
      <c r="C58" s="6">
        <f t="shared" si="1"/>
        <v>-3.8895941783980703E-3</v>
      </c>
      <c r="D58" s="6">
        <f t="shared" si="2"/>
        <v>10.000049715887986</v>
      </c>
    </row>
    <row r="59" spans="1:4" x14ac:dyDescent="0.2">
      <c r="A59" s="7">
        <f t="shared" si="4"/>
        <v>2.9059732045705586E-2</v>
      </c>
      <c r="B59" s="6">
        <f t="shared" si="0"/>
        <v>2.2918813041028045E-3</v>
      </c>
      <c r="C59" s="6">
        <f t="shared" si="1"/>
        <v>-2.7370027635615912E-3</v>
      </c>
      <c r="D59" s="6">
        <f t="shared" si="2"/>
        <v>10.000445121459459</v>
      </c>
    </row>
    <row r="60" spans="1:4" x14ac:dyDescent="0.2">
      <c r="A60" s="7">
        <f t="shared" si="4"/>
        <v>2.9845130209103034E-2</v>
      </c>
      <c r="B60" s="6">
        <f t="shared" si="0"/>
        <v>1.2134198168123878E-3</v>
      </c>
      <c r="C60" s="6">
        <f t="shared" si="1"/>
        <v>-1.8835817761289064E-3</v>
      </c>
      <c r="D60" s="6">
        <f t="shared" si="2"/>
        <v>10.000670161959317</v>
      </c>
    </row>
    <row r="61" spans="1:4" x14ac:dyDescent="0.2">
      <c r="A61" s="7">
        <f t="shared" si="4"/>
        <v>3.0630528372500482E-2</v>
      </c>
      <c r="B61" s="6">
        <f t="shared" si="0"/>
        <v>4.8083238858894297E-4</v>
      </c>
      <c r="C61" s="6">
        <f t="shared" si="1"/>
        <v>-1.2586753231609293E-3</v>
      </c>
      <c r="D61" s="6">
        <f t="shared" si="2"/>
        <v>10.000777842934571</v>
      </c>
    </row>
    <row r="62" spans="1:4" x14ac:dyDescent="0.2">
      <c r="A62" s="7">
        <f t="shared" si="4"/>
        <v>3.1415926535897934E-2</v>
      </c>
      <c r="B62" s="6">
        <f t="shared" si="0"/>
        <v>9.1940388336499396E-18</v>
      </c>
      <c r="C62" s="6">
        <f t="shared" si="1"/>
        <v>-8.0699517570437251E-4</v>
      </c>
      <c r="D62" s="6">
        <f t="shared" si="2"/>
        <v>10.000806995175704</v>
      </c>
    </row>
    <row r="63" spans="1:4" x14ac:dyDescent="0.2">
      <c r="A63" s="7">
        <f t="shared" si="4"/>
        <v>3.2201324699295382E-2</v>
      </c>
      <c r="B63" s="6">
        <f t="shared" si="0"/>
        <v>-3.0014924877635817E-4</v>
      </c>
      <c r="C63" s="6">
        <f t="shared" si="1"/>
        <v>-4.8555167667174715E-4</v>
      </c>
      <c r="D63" s="6">
        <f t="shared" si="2"/>
        <v>10.000785700925448</v>
      </c>
    </row>
    <row r="64" spans="1:4" x14ac:dyDescent="0.2">
      <c r="A64" s="7">
        <f t="shared" si="4"/>
        <v>3.298672286269283E-2</v>
      </c>
      <c r="B64" s="6">
        <f t="shared" si="0"/>
        <v>-4.7282254593288518E-4</v>
      </c>
      <c r="C64" s="6">
        <f t="shared" si="1"/>
        <v>-2.6113607129296668E-4</v>
      </c>
      <c r="D64" s="6">
        <f t="shared" si="2"/>
        <v>10.000733958617225</v>
      </c>
    </row>
    <row r="65" spans="1:4" x14ac:dyDescent="0.2">
      <c r="A65" s="7">
        <f t="shared" si="4"/>
        <v>3.3772121026090278E-2</v>
      </c>
      <c r="B65" s="6">
        <f t="shared" si="0"/>
        <v>-5.5747161951422738E-4</v>
      </c>
      <c r="C65" s="6">
        <f t="shared" si="1"/>
        <v>-1.0827025834281301E-4</v>
      </c>
      <c r="D65" s="6">
        <f t="shared" si="2"/>
        <v>10.000665741877857</v>
      </c>
    </row>
    <row r="66" spans="1:4" x14ac:dyDescent="0.2">
      <c r="A66" s="7">
        <f t="shared" si="4"/>
        <v>3.4557519189487726E-2</v>
      </c>
      <c r="B66" s="6">
        <f t="shared" si="0"/>
        <v>-5.8303099973285759E-4</v>
      </c>
      <c r="C66" s="6">
        <f t="shared" si="1"/>
        <v>-7.5486517232548067E-6</v>
      </c>
      <c r="D66" s="6">
        <f t="shared" si="2"/>
        <v>10.000590579651456</v>
      </c>
    </row>
    <row r="67" spans="1:4" x14ac:dyDescent="0.2">
      <c r="A67" s="7">
        <f t="shared" si="4"/>
        <v>3.5342917352885174E-2</v>
      </c>
      <c r="B67" s="6">
        <f t="shared" si="0"/>
        <v>-5.7045411429915832E-4</v>
      </c>
      <c r="C67" s="6">
        <f t="shared" si="1"/>
        <v>5.5694047240706368E-5</v>
      </c>
      <c r="D67" s="6">
        <f t="shared" si="2"/>
        <v>10.000514760067059</v>
      </c>
    </row>
    <row r="68" spans="1:4" x14ac:dyDescent="0.2">
      <c r="A68" s="7">
        <f t="shared" si="4"/>
        <v>3.6128315516282622E-2</v>
      </c>
      <c r="B68" s="6">
        <f t="shared" si="0"/>
        <v>-5.3468696230329156E-4</v>
      </c>
      <c r="C68" s="6">
        <f t="shared" si="1"/>
        <v>9.244643959149812E-5</v>
      </c>
      <c r="D68" s="6">
        <f t="shared" si="2"/>
        <v>10.000442240522712</v>
      </c>
    </row>
    <row r="69" spans="1:4" x14ac:dyDescent="0.2">
      <c r="A69" s="7">
        <f t="shared" si="4"/>
        <v>3.691371367968007E-2</v>
      </c>
      <c r="B69" s="6">
        <f t="shared" si="0"/>
        <v>-4.8619412299493429E-4</v>
      </c>
      <c r="C69" s="6">
        <f t="shared" si="1"/>
        <v>1.1086427818440825E-4</v>
      </c>
      <c r="D69" s="6">
        <f t="shared" si="2"/>
        <v>10.000375329844811</v>
      </c>
    </row>
    <row r="70" spans="1:4" x14ac:dyDescent="0.2">
      <c r="A70" s="7">
        <f t="shared" si="4"/>
        <v>3.7699111843077518E-2</v>
      </c>
      <c r="B70" s="6">
        <f t="shared" si="0"/>
        <v>-4.3213064101389965E-4</v>
      </c>
      <c r="C70" s="6">
        <f t="shared" si="1"/>
        <v>1.1693585357797076E-4</v>
      </c>
      <c r="D70" s="6">
        <f t="shared" si="2"/>
        <v>10.000315194787436</v>
      </c>
    </row>
    <row r="71" spans="1:4" x14ac:dyDescent="0.2">
      <c r="A71" s="7">
        <f t="shared" si="4"/>
        <v>3.8484510006474966E-2</v>
      </c>
      <c r="B71" s="6">
        <f t="shared" si="0"/>
        <v>-3.7723550910641931E-4</v>
      </c>
      <c r="C71" s="6">
        <f t="shared" si="1"/>
        <v>1.1500341585879426E-4</v>
      </c>
      <c r="D71" s="6">
        <f t="shared" si="2"/>
        <v>10.000262232093247</v>
      </c>
    </row>
    <row r="72" spans="1:4" x14ac:dyDescent="0.2">
      <c r="A72" s="7">
        <f t="shared" si="4"/>
        <v>3.9269908169872414E-2</v>
      </c>
      <c r="B72" s="6">
        <f t="shared" si="0"/>
        <v>-3.2450763972870266E-4</v>
      </c>
      <c r="C72" s="6">
        <f t="shared" si="1"/>
        <v>1.0816921324163786E-4</v>
      </c>
      <c r="D72" s="6">
        <f t="shared" si="2"/>
        <v>10.000216338426487</v>
      </c>
    </row>
    <row r="73" spans="1:4" x14ac:dyDescent="0.2">
      <c r="A73" s="7">
        <f t="shared" si="4"/>
        <v>4.0055306333269862E-2</v>
      </c>
      <c r="B73" s="6">
        <f t="shared" si="0"/>
        <v>-2.7571298001937252E-4</v>
      </c>
      <c r="C73" s="6">
        <f t="shared" si="1"/>
        <v>9.86096348487564E-5</v>
      </c>
      <c r="D73" s="6">
        <f t="shared" si="2"/>
        <v>10.000177103345171</v>
      </c>
    </row>
    <row r="74" spans="1:4" x14ac:dyDescent="0.2">
      <c r="A74" s="7">
        <f t="shared" si="4"/>
        <v>4.084070449666731E-2</v>
      </c>
      <c r="B74" s="6">
        <f t="shared" si="0"/>
        <v>-2.317614049854652E-4</v>
      </c>
      <c r="C74" s="6">
        <f t="shared" si="1"/>
        <v>8.7816616312963447E-5</v>
      </c>
      <c r="D74" s="6">
        <f t="shared" si="2"/>
        <v>10.000143944788672</v>
      </c>
    </row>
    <row r="75" spans="1:4" x14ac:dyDescent="0.2">
      <c r="A75" s="7">
        <f t="shared" si="4"/>
        <v>4.1626102660064758E-2</v>
      </c>
      <c r="B75" s="6">
        <f t="shared" si="0"/>
        <v>-1.929838785317351E-4</v>
      </c>
      <c r="C75" s="6">
        <f t="shared" si="1"/>
        <v>7.6781827122118784E-5</v>
      </c>
      <c r="D75" s="6">
        <f t="shared" si="2"/>
        <v>10.00011620205141</v>
      </c>
    </row>
    <row r="76" spans="1:4" x14ac:dyDescent="0.2">
      <c r="A76" s="7">
        <f t="shared" si="4"/>
        <v>4.2411500823462206E-2</v>
      </c>
      <c r="B76" s="6">
        <f t="shared" si="0"/>
        <v>-1.5933379541781923E-4</v>
      </c>
      <c r="C76" s="6">
        <f t="shared" si="1"/>
        <v>6.6136127086835472E-5</v>
      </c>
      <c r="D76" s="6">
        <f t="shared" si="2"/>
        <v>10.000093197668331</v>
      </c>
    </row>
    <row r="77" spans="1:4" x14ac:dyDescent="0.2">
      <c r="A77" s="7">
        <f t="shared" si="4"/>
        <v>4.3196898986859654E-2</v>
      </c>
      <c r="B77" s="6">
        <f t="shared" si="0"/>
        <v>-1.3053114172709341E-4</v>
      </c>
      <c r="C77" s="6">
        <f t="shared" si="1"/>
        <v>5.6254275992984049E-5</v>
      </c>
      <c r="D77" s="6">
        <f t="shared" si="2"/>
        <v>10.000074276865734</v>
      </c>
    </row>
    <row r="78" spans="1:4" x14ac:dyDescent="0.2">
      <c r="A78" s="7">
        <f t="shared" si="4"/>
        <v>4.3982297150257102E-2</v>
      </c>
      <c r="B78" s="6">
        <f t="shared" si="0"/>
        <v>-1.0616390624644053E-4</v>
      </c>
      <c r="C78" s="6">
        <f t="shared" si="1"/>
        <v>4.7332829094415274E-5</v>
      </c>
      <c r="D78" s="6">
        <f t="shared" si="2"/>
        <v>10.000058831077151</v>
      </c>
    </row>
    <row r="79" spans="1:4" x14ac:dyDescent="0.2">
      <c r="A79" s="7">
        <f t="shared" si="4"/>
        <v>4.476769531365455E-2</v>
      </c>
      <c r="B79" s="6">
        <f t="shared" si="0"/>
        <v>-8.5757843882266718E-5</v>
      </c>
      <c r="C79" s="6">
        <f t="shared" si="1"/>
        <v>3.9447482484078478E-5</v>
      </c>
      <c r="D79" s="6">
        <f t="shared" si="2"/>
        <v>10.000046310361398</v>
      </c>
    </row>
    <row r="80" spans="1:4" x14ac:dyDescent="0.2">
      <c r="A80" s="7">
        <f t="shared" si="4"/>
        <v>4.5553093477051998E-2</v>
      </c>
      <c r="B80" s="6">
        <f t="shared" si="0"/>
        <v>-6.8823069506673083E-5</v>
      </c>
      <c r="C80" s="6">
        <f t="shared" si="1"/>
        <v>3.2594784194373005E-5</v>
      </c>
      <c r="D80" s="6">
        <f t="shared" si="2"/>
        <v>10.000036228285312</v>
      </c>
    </row>
    <row r="81" spans="1:4" x14ac:dyDescent="0.2">
      <c r="A81" s="7">
        <f t="shared" si="4"/>
        <v>4.6338491640449446E-2</v>
      </c>
      <c r="B81" s="6">
        <f t="shared" si="0"/>
        <v>-5.4883908537139764E-5</v>
      </c>
      <c r="C81" s="6">
        <f t="shared" si="1"/>
        <v>2.6722044724536431E-5</v>
      </c>
      <c r="D81" s="6">
        <f t="shared" si="2"/>
        <v>10.000028161863813</v>
      </c>
    </row>
    <row r="82" spans="1:4" x14ac:dyDescent="0.2">
      <c r="A82" s="7">
        <f t="shared" si="4"/>
        <v>4.7123889803846894E-2</v>
      </c>
      <c r="B82" s="6">
        <f t="shared" si="0"/>
        <v>-4.3496835095927683E-5</v>
      </c>
      <c r="C82" s="6">
        <f t="shared" si="1"/>
        <v>2.1748417548650423E-5</v>
      </c>
      <c r="D82" s="6">
        <f t="shared" si="2"/>
        <v>10.000021748417547</v>
      </c>
    </row>
    <row r="83" spans="1:4" x14ac:dyDescent="0.2">
      <c r="A83" s="7">
        <f t="shared" si="4"/>
        <v>4.7909287967244342E-2</v>
      </c>
      <c r="B83" s="6">
        <f t="shared" si="0"/>
        <v>-3.4260096258650113E-5</v>
      </c>
      <c r="C83" s="6">
        <f t="shared" si="1"/>
        <v>1.7579436137893367E-5</v>
      </c>
      <c r="D83" s="6">
        <f t="shared" si="2"/>
        <v>10.000016680660121</v>
      </c>
    </row>
    <row r="84" spans="1:4" x14ac:dyDescent="0.2">
      <c r="A84" s="7">
        <f t="shared" si="4"/>
        <v>4.869468613064179E-2</v>
      </c>
      <c r="B84" s="6">
        <f t="shared" si="0"/>
        <v>-2.681767554163281E-5</v>
      </c>
      <c r="C84" s="6">
        <f t="shared" si="1"/>
        <v>1.4116754860182823E-5</v>
      </c>
      <c r="D84" s="6">
        <f t="shared" si="2"/>
        <v>10.000012700920681</v>
      </c>
    </row>
    <row r="85" spans="1:4" x14ac:dyDescent="0.2">
      <c r="A85" s="7">
        <f t="shared" si="4"/>
        <v>4.9480084294039238E-2</v>
      </c>
      <c r="B85" s="6">
        <f t="shared" si="0"/>
        <v>-2.0859528820063258E-5</v>
      </c>
      <c r="C85" s="6">
        <f t="shared" si="1"/>
        <v>1.1264419375933699E-5</v>
      </c>
      <c r="D85" s="6">
        <f t="shared" si="2"/>
        <v>10.000009595109445</v>
      </c>
    </row>
    <row r="86" spans="1:4" x14ac:dyDescent="0.2">
      <c r="A86" s="7">
        <f t="shared" si="4"/>
        <v>5.0265482457436686E-2</v>
      </c>
      <c r="B86" s="6">
        <f t="shared" ref="B86:B149" si="5">(($B$8/($B$6*$B$13))*EXP(-$B$11*A86)*SIN($B$13*A86))*$B$5</f>
        <v>-1.6119481846326788E-5</v>
      </c>
      <c r="C86" s="6">
        <f t="shared" ref="C86:C149" si="6">$B$8-B86-D86</f>
        <v>8.9326637819908683E-6</v>
      </c>
      <c r="D86" s="6">
        <f t="shared" ref="D86:D149" si="7">$B$8*(1-EXP(-$B$11*A86)*(COS($B$13*A86)+($B$11/$B$13)*SIN($B$13*A86)))</f>
        <v>10.000007186818065</v>
      </c>
    </row>
    <row r="87" spans="1:4" x14ac:dyDescent="0.2">
      <c r="A87" s="7">
        <f t="shared" ref="A87:A118" si="8">A86+$B$17</f>
        <v>5.1050880620834134E-2</v>
      </c>
      <c r="B87" s="6">
        <f t="shared" si="5"/>
        <v>-1.2371770961797145E-5</v>
      </c>
      <c r="C87" s="6">
        <f t="shared" si="6"/>
        <v>7.0399780351948493E-6</v>
      </c>
      <c r="D87" s="6">
        <f t="shared" si="7"/>
        <v>10.000005331792927</v>
      </c>
    </row>
    <row r="88" spans="1:4" x14ac:dyDescent="0.2">
      <c r="A88" s="7">
        <f t="shared" si="8"/>
        <v>5.1836278784231582E-2</v>
      </c>
      <c r="B88" s="6">
        <f t="shared" si="5"/>
        <v>-9.4269061385258511E-6</v>
      </c>
      <c r="C88" s="6">
        <f t="shared" si="6"/>
        <v>5.51399450188228E-6</v>
      </c>
      <c r="D88" s="6">
        <f t="shared" si="7"/>
        <v>10.000003912911637</v>
      </c>
    </row>
    <row r="89" spans="1:4" x14ac:dyDescent="0.2">
      <c r="A89" s="7">
        <f t="shared" si="8"/>
        <v>5.262167694762903E-2</v>
      </c>
      <c r="B89" s="6">
        <f t="shared" si="5"/>
        <v>-7.1273134502382388E-6</v>
      </c>
      <c r="C89" s="6">
        <f t="shared" si="6"/>
        <v>4.2915939424403859E-6</v>
      </c>
      <c r="D89" s="6">
        <f t="shared" si="7"/>
        <v>10.000002835719508</v>
      </c>
    </row>
    <row r="90" spans="1:4" x14ac:dyDescent="0.2">
      <c r="A90" s="7">
        <f t="shared" si="8"/>
        <v>5.3407075111026478E-2</v>
      </c>
      <c r="B90" s="6">
        <f t="shared" si="5"/>
        <v>-5.3430531011482119E-6</v>
      </c>
      <c r="C90" s="6">
        <f t="shared" si="6"/>
        <v>3.3185191004037051E-6</v>
      </c>
      <c r="D90" s="6">
        <f t="shared" si="7"/>
        <v>10.000002024534</v>
      </c>
    </row>
    <row r="91" spans="1:4" x14ac:dyDescent="0.2">
      <c r="A91" s="7">
        <f t="shared" si="8"/>
        <v>5.4192473274423926E-2</v>
      </c>
      <c r="B91" s="6">
        <f t="shared" si="5"/>
        <v>-3.9677941668566931E-6</v>
      </c>
      <c r="C91" s="6">
        <f t="shared" si="6"/>
        <v>2.5486998112000947E-6</v>
      </c>
      <c r="D91" s="6">
        <f t="shared" si="7"/>
        <v>10.000001419094355</v>
      </c>
    </row>
    <row r="92" spans="1:4" x14ac:dyDescent="0.2">
      <c r="A92" s="7">
        <f t="shared" si="8"/>
        <v>5.4977871437821374E-2</v>
      </c>
      <c r="B92" s="6">
        <f t="shared" si="5"/>
        <v>-2.9151465662627839E-6</v>
      </c>
      <c r="C92" s="6">
        <f t="shared" si="6"/>
        <v>1.9434310445376468E-6</v>
      </c>
      <c r="D92" s="6">
        <f t="shared" si="7"/>
        <v>10.000000971715522</v>
      </c>
    </row>
    <row r="93" spans="1:4" x14ac:dyDescent="0.2">
      <c r="A93" s="7">
        <f t="shared" si="8"/>
        <v>5.5763269601218822E-2</v>
      </c>
      <c r="B93" s="6">
        <f t="shared" si="5"/>
        <v>-2.1153955294533781E-6</v>
      </c>
      <c r="C93" s="6">
        <f t="shared" si="6"/>
        <v>1.4704994217851208E-6</v>
      </c>
      <c r="D93" s="6">
        <f t="shared" si="7"/>
        <v>10.000000644896108</v>
      </c>
    </row>
    <row r="94" spans="1:4" x14ac:dyDescent="0.2">
      <c r="A94" s="7">
        <f t="shared" si="8"/>
        <v>5.654866776461627E-2</v>
      </c>
      <c r="B94" s="6">
        <f t="shared" si="5"/>
        <v>-1.5126471203120545E-6</v>
      </c>
      <c r="C94" s="6">
        <f t="shared" si="6"/>
        <v>1.1033202529375785E-6</v>
      </c>
      <c r="D94" s="6">
        <f t="shared" si="7"/>
        <v>10.000000409326868</v>
      </c>
    </row>
    <row r="95" spans="1:4" x14ac:dyDescent="0.2">
      <c r="A95" s="7">
        <f t="shared" si="8"/>
        <v>5.7334065928013718E-2</v>
      </c>
      <c r="B95" s="6">
        <f t="shared" si="5"/>
        <v>-1.0623700406788666E-6</v>
      </c>
      <c r="C95" s="6">
        <f t="shared" si="6"/>
        <v>8.2012341096060482E-7</v>
      </c>
      <c r="D95" s="6">
        <f t="shared" si="7"/>
        <v>10.00000024224663</v>
      </c>
    </row>
    <row r="96" spans="1:4" x14ac:dyDescent="0.2">
      <c r="A96" s="7">
        <f t="shared" si="8"/>
        <v>5.8119464091411166E-2</v>
      </c>
      <c r="B96" s="6">
        <f t="shared" si="5"/>
        <v>-7.2930510140674895E-7</v>
      </c>
      <c r="C96" s="6">
        <f t="shared" si="6"/>
        <v>6.0320952677272999E-7</v>
      </c>
      <c r="D96" s="6">
        <f t="shared" si="7"/>
        <v>10.000000126095575</v>
      </c>
    </row>
    <row r="97" spans="1:4" x14ac:dyDescent="0.2">
      <c r="A97" s="7">
        <f t="shared" si="8"/>
        <v>5.8904862254808614E-2</v>
      </c>
      <c r="B97" s="6">
        <f t="shared" si="5"/>
        <v>-4.8570650572526969E-7</v>
      </c>
      <c r="C97" s="6">
        <f t="shared" si="6"/>
        <v>4.3828645779342423E-7</v>
      </c>
      <c r="D97" s="6">
        <f t="shared" si="7"/>
        <v>10.000000047420048</v>
      </c>
    </row>
    <row r="98" spans="1:4" x14ac:dyDescent="0.2">
      <c r="A98" s="7">
        <f t="shared" si="8"/>
        <v>5.9690260418206062E-2</v>
      </c>
      <c r="B98" s="6">
        <f t="shared" si="5"/>
        <v>-3.0987632556497895E-7</v>
      </c>
      <c r="C98" s="6">
        <f t="shared" si="6"/>
        <v>3.1388837307133599E-7</v>
      </c>
      <c r="D98" s="6">
        <f t="shared" si="7"/>
        <v>9.9999999959879524</v>
      </c>
    </row>
    <row r="99" spans="1:4" x14ac:dyDescent="0.2">
      <c r="A99" s="7">
        <f t="shared" si="8"/>
        <v>6.047565858160351E-2</v>
      </c>
      <c r="B99" s="6">
        <f t="shared" si="5"/>
        <v>-1.8495371556949974E-7</v>
      </c>
      <c r="C99" s="6">
        <f t="shared" si="6"/>
        <v>2.2087480289201267E-7</v>
      </c>
      <c r="D99" s="6">
        <f t="shared" si="7"/>
        <v>9.9999999640789135</v>
      </c>
    </row>
    <row r="100" spans="1:4" x14ac:dyDescent="0.2">
      <c r="A100" s="7">
        <f t="shared" si="8"/>
        <v>6.1261056745000958E-2</v>
      </c>
      <c r="B100" s="6">
        <f t="shared" si="5"/>
        <v>-9.7922393827009291E-8</v>
      </c>
      <c r="C100" s="6">
        <f t="shared" si="6"/>
        <v>1.5200414082983116E-7</v>
      </c>
      <c r="D100" s="6">
        <f t="shared" si="7"/>
        <v>9.9999999459182529</v>
      </c>
    </row>
    <row r="101" spans="1:4" x14ac:dyDescent="0.2">
      <c r="A101" s="7">
        <f t="shared" si="8"/>
        <v>6.2046454908398406E-2</v>
      </c>
      <c r="B101" s="6">
        <f t="shared" si="5"/>
        <v>-3.8802941791306389E-8</v>
      </c>
      <c r="C101" s="6">
        <f t="shared" si="6"/>
        <v>1.0157449104042371E-7</v>
      </c>
      <c r="D101" s="6">
        <f t="shared" si="7"/>
        <v>9.9999999372284503</v>
      </c>
    </row>
    <row r="102" spans="1:4" x14ac:dyDescent="0.2">
      <c r="A102" s="7">
        <f t="shared" si="8"/>
        <v>6.2831853071795854E-2</v>
      </c>
      <c r="B102" s="6">
        <f t="shared" si="5"/>
        <v>-2.1780110671315251E-21</v>
      </c>
      <c r="C102" s="6">
        <f t="shared" si="6"/>
        <v>6.512412120684985E-8</v>
      </c>
      <c r="D102" s="6">
        <f t="shared" si="7"/>
        <v>9.9999999348758788</v>
      </c>
    </row>
    <row r="103" spans="1:4" x14ac:dyDescent="0.2">
      <c r="A103" s="7">
        <f t="shared" si="8"/>
        <v>6.3617251235193309E-2</v>
      </c>
      <c r="B103" s="6">
        <f t="shared" si="5"/>
        <v>2.4221899575340678E-8</v>
      </c>
      <c r="C103" s="6">
        <f t="shared" si="6"/>
        <v>3.9183786881835658E-8</v>
      </c>
      <c r="D103" s="6">
        <f t="shared" si="7"/>
        <v>9.999999936594314</v>
      </c>
    </row>
    <row r="104" spans="1:4" x14ac:dyDescent="0.2">
      <c r="A104" s="7">
        <f t="shared" si="8"/>
        <v>6.4402649398590764E-2</v>
      </c>
      <c r="B104" s="6">
        <f t="shared" si="5"/>
        <v>3.81565513531464E-8</v>
      </c>
      <c r="C104" s="6">
        <f t="shared" si="6"/>
        <v>2.1073555345196837E-8</v>
      </c>
      <c r="D104" s="6">
        <f t="shared" si="7"/>
        <v>9.999999940769893</v>
      </c>
    </row>
    <row r="105" spans="1:4" x14ac:dyDescent="0.2">
      <c r="A105" s="7">
        <f t="shared" si="8"/>
        <v>6.5188047561988219E-2</v>
      </c>
      <c r="B105" s="6">
        <f t="shared" si="5"/>
        <v>4.4987690753934239E-8</v>
      </c>
      <c r="C105" s="6">
        <f t="shared" si="6"/>
        <v>8.7373592805306544E-9</v>
      </c>
      <c r="D105" s="6">
        <f t="shared" si="7"/>
        <v>9.9999999462749507</v>
      </c>
    </row>
    <row r="106" spans="1:4" x14ac:dyDescent="0.2">
      <c r="A106" s="7">
        <f t="shared" si="8"/>
        <v>6.5973445725385674E-2</v>
      </c>
      <c r="B106" s="6">
        <f t="shared" si="5"/>
        <v>4.7050320406973673E-8</v>
      </c>
      <c r="C106" s="6">
        <f t="shared" si="6"/>
        <v>6.0917138000604609E-10</v>
      </c>
      <c r="D106" s="6">
        <f t="shared" si="7"/>
        <v>9.9999999523405076</v>
      </c>
    </row>
    <row r="107" spans="1:4" x14ac:dyDescent="0.2">
      <c r="A107" s="7">
        <f t="shared" si="8"/>
        <v>6.6758843888783129E-2</v>
      </c>
      <c r="B107" s="6">
        <f t="shared" si="5"/>
        <v>4.6035371819937142E-8</v>
      </c>
      <c r="C107" s="6">
        <f t="shared" si="6"/>
        <v>-4.4944812316316529E-9</v>
      </c>
      <c r="D107" s="6">
        <f t="shared" si="7"/>
        <v>9.9999999584591102</v>
      </c>
    </row>
    <row r="108" spans="1:4" x14ac:dyDescent="0.2">
      <c r="A108" s="7">
        <f t="shared" si="8"/>
        <v>6.7544242052180584E-2</v>
      </c>
      <c r="B108" s="6">
        <f t="shared" si="5"/>
        <v>4.3148979909007047E-8</v>
      </c>
      <c r="C108" s="6">
        <f t="shared" si="6"/>
        <v>-7.4603825339636387E-9</v>
      </c>
      <c r="D108" s="6">
        <f t="shared" si="7"/>
        <v>9.999999964311403</v>
      </c>
    </row>
    <row r="109" spans="1:4" x14ac:dyDescent="0.2">
      <c r="A109" s="7">
        <f t="shared" si="8"/>
        <v>6.8329640215578039E-2</v>
      </c>
      <c r="B109" s="6">
        <f t="shared" si="5"/>
        <v>3.9235631171208142E-8</v>
      </c>
      <c r="C109" s="6">
        <f t="shared" si="6"/>
        <v>-8.9466940522697769E-9</v>
      </c>
      <c r="D109" s="6">
        <f t="shared" si="7"/>
        <v>9.9999999697110624</v>
      </c>
    </row>
    <row r="110" spans="1:4" x14ac:dyDescent="0.2">
      <c r="A110" s="7">
        <f t="shared" si="8"/>
        <v>6.9115038378975494E-2</v>
      </c>
      <c r="B110" s="6">
        <f t="shared" si="5"/>
        <v>3.4872734257167824E-8</v>
      </c>
      <c r="C110" s="6">
        <f t="shared" si="6"/>
        <v>-9.436666559281548E-9</v>
      </c>
      <c r="D110" s="6">
        <f t="shared" si="7"/>
        <v>9.9999999745639325</v>
      </c>
    </row>
    <row r="111" spans="1:4" x14ac:dyDescent="0.2">
      <c r="A111" s="7">
        <f t="shared" si="8"/>
        <v>6.9900436542372948E-2</v>
      </c>
      <c r="B111" s="6">
        <f t="shared" si="5"/>
        <v>3.0442723595275913E-8</v>
      </c>
      <c r="C111" s="6">
        <f t="shared" si="6"/>
        <v>-9.2807201923506E-9</v>
      </c>
      <c r="D111" s="6">
        <f t="shared" si="7"/>
        <v>9.9999999788379963</v>
      </c>
    </row>
    <row r="112" spans="1:4" x14ac:dyDescent="0.2">
      <c r="A112" s="7">
        <f t="shared" si="8"/>
        <v>7.0685834705770403E-2</v>
      </c>
      <c r="B112" s="6">
        <f t="shared" si="5"/>
        <v>2.6187609973984141E-8</v>
      </c>
      <c r="C112" s="6">
        <f t="shared" si="6"/>
        <v>-8.7292040262809678E-9</v>
      </c>
      <c r="D112" s="6">
        <f t="shared" si="7"/>
        <v>9.9999999825415937</v>
      </c>
    </row>
    <row r="113" spans="1:4" x14ac:dyDescent="0.2">
      <c r="A113" s="7">
        <f t="shared" si="8"/>
        <v>7.1471232869167858E-2</v>
      </c>
      <c r="B113" s="6">
        <f t="shared" si="5"/>
        <v>2.2249904475434087E-8</v>
      </c>
      <c r="C113" s="6">
        <f t="shared" si="6"/>
        <v>-7.957750014497833E-9</v>
      </c>
      <c r="D113" s="6">
        <f t="shared" si="7"/>
        <v>9.999999985707845</v>
      </c>
    </row>
    <row r="114" spans="1:4" x14ac:dyDescent="0.2">
      <c r="A114" s="7">
        <f t="shared" si="8"/>
        <v>7.2256631032565313E-2</v>
      </c>
      <c r="B114" s="6">
        <f t="shared" si="5"/>
        <v>1.8703033573742663E-8</v>
      </c>
      <c r="C114" s="6">
        <f t="shared" si="6"/>
        <v>-7.0867596235757446E-9</v>
      </c>
      <c r="D114" s="6">
        <f t="shared" si="7"/>
        <v>9.9999999883837258</v>
      </c>
    </row>
    <row r="115" spans="1:4" x14ac:dyDescent="0.2">
      <c r="A115" s="7">
        <f t="shared" si="8"/>
        <v>7.3042029195962768E-2</v>
      </c>
      <c r="B115" s="6">
        <f t="shared" si="5"/>
        <v>1.5573705896356956E-8</v>
      </c>
      <c r="C115" s="6">
        <f t="shared" si="6"/>
        <v>-6.1962559527728445E-9</v>
      </c>
      <c r="D115" s="6">
        <f t="shared" si="7"/>
        <v>9.9999999906225501</v>
      </c>
    </row>
    <row r="116" spans="1:4" x14ac:dyDescent="0.2">
      <c r="A116" s="7">
        <f t="shared" si="8"/>
        <v>7.3827427359360223E-2</v>
      </c>
      <c r="B116" s="6">
        <f t="shared" si="5"/>
        <v>1.2858160422863328E-8</v>
      </c>
      <c r="C116" s="6">
        <f t="shared" si="6"/>
        <v>-5.3371529418200225E-9</v>
      </c>
      <c r="D116" s="6">
        <f t="shared" si="7"/>
        <v>9.9999999924789922</v>
      </c>
    </row>
    <row r="117" spans="1:4" x14ac:dyDescent="0.2">
      <c r="A117" s="7">
        <f t="shared" si="8"/>
        <v>7.4612825522757678E-2</v>
      </c>
      <c r="B117" s="6">
        <f t="shared" si="5"/>
        <v>1.0533800165277249E-8</v>
      </c>
      <c r="C117" s="6">
        <f t="shared" si="6"/>
        <v>-4.5396930659080681E-9</v>
      </c>
      <c r="D117" s="6">
        <f t="shared" si="7"/>
        <v>9.9999999940058935</v>
      </c>
    </row>
    <row r="118" spans="1:4" x14ac:dyDescent="0.2">
      <c r="A118" s="7">
        <f t="shared" si="8"/>
        <v>7.5398223686155133E-2</v>
      </c>
      <c r="B118" s="6">
        <f t="shared" si="5"/>
        <v>8.5673760174665794E-9</v>
      </c>
      <c r="C118" s="6">
        <f t="shared" si="6"/>
        <v>-3.8197356388991466E-9</v>
      </c>
      <c r="D118" s="6">
        <f t="shared" si="7"/>
        <v>9.9999999952523595</v>
      </c>
    </row>
    <row r="119" spans="1:4" x14ac:dyDescent="0.2">
      <c r="A119" s="7">
        <f t="shared" ref="A119:A150" si="9">A118+$B$17</f>
        <v>7.6183621849552588E-2</v>
      </c>
      <c r="B119" s="6">
        <f t="shared" si="5"/>
        <v>6.9206166291682287E-9</v>
      </c>
      <c r="C119" s="6">
        <f t="shared" si="6"/>
        <v>-3.1833931046776343E-9</v>
      </c>
      <c r="D119" s="6">
        <f t="shared" si="7"/>
        <v>9.9999999962627761</v>
      </c>
    </row>
    <row r="120" spans="1:4" x14ac:dyDescent="0.2">
      <c r="A120" s="7">
        <f t="shared" si="9"/>
        <v>7.6969020012950043E-2</v>
      </c>
      <c r="B120" s="6">
        <f t="shared" si="5"/>
        <v>5.5539885068958715E-9</v>
      </c>
      <c r="C120" s="6">
        <f t="shared" si="6"/>
        <v>-2.6303847988629059E-9</v>
      </c>
      <c r="D120" s="6">
        <f t="shared" si="7"/>
        <v>9.9999999970763955</v>
      </c>
    </row>
    <row r="121" spans="1:4" x14ac:dyDescent="0.2">
      <c r="A121" s="7">
        <f t="shared" si="9"/>
        <v>7.7754418176347498E-2</v>
      </c>
      <c r="B121" s="6">
        <f t="shared" si="5"/>
        <v>4.429104941319741E-9</v>
      </c>
      <c r="C121" s="6">
        <f t="shared" si="6"/>
        <v>-2.1564545704677585E-9</v>
      </c>
      <c r="D121" s="6">
        <f t="shared" si="7"/>
        <v>9.9999999977273504</v>
      </c>
    </row>
    <row r="122" spans="1:4" x14ac:dyDescent="0.2">
      <c r="A122" s="7">
        <f t="shared" si="9"/>
        <v>7.8539816339744953E-2</v>
      </c>
      <c r="B122" s="6">
        <f t="shared" si="5"/>
        <v>3.510173608076328E-9</v>
      </c>
      <c r="C122" s="6">
        <f t="shared" si="6"/>
        <v>-1.7550867426052719E-9</v>
      </c>
      <c r="D122" s="6">
        <f t="shared" si="7"/>
        <v>9.9999999982449133</v>
      </c>
    </row>
    <row r="123" spans="1:4" x14ac:dyDescent="0.2">
      <c r="A123" s="7">
        <f t="shared" si="9"/>
        <v>7.9325214503142408E-2</v>
      </c>
      <c r="B123" s="6">
        <f t="shared" si="5"/>
        <v>2.7647732399851518E-9</v>
      </c>
      <c r="C123" s="6">
        <f t="shared" si="6"/>
        <v>-1.418651862650222E-9</v>
      </c>
      <c r="D123" s="6">
        <f t="shared" si="7"/>
        <v>9.9999999986538786</v>
      </c>
    </row>
    <row r="124" spans="1:4" x14ac:dyDescent="0.2">
      <c r="A124" s="7">
        <f t="shared" si="9"/>
        <v>8.0110612666539863E-2</v>
      </c>
      <c r="B124" s="6">
        <f t="shared" si="5"/>
        <v>2.1641734785666331E-9</v>
      </c>
      <c r="C124" s="6">
        <f t="shared" si="6"/>
        <v>-1.139214944601008E-9</v>
      </c>
      <c r="D124" s="6">
        <f t="shared" si="7"/>
        <v>9.9999999989750421</v>
      </c>
    </row>
    <row r="125" spans="1:4" x14ac:dyDescent="0.2">
      <c r="A125" s="7">
        <f t="shared" si="9"/>
        <v>8.0896010829937318E-2</v>
      </c>
      <c r="B125" s="6">
        <f t="shared" si="5"/>
        <v>1.6833539125228881E-9</v>
      </c>
      <c r="C125" s="6">
        <f t="shared" si="6"/>
        <v>-9.0903284899468417E-10</v>
      </c>
      <c r="D125" s="6">
        <f t="shared" si="7"/>
        <v>9.9999999992256789</v>
      </c>
    </row>
    <row r="126" spans="1:4" x14ac:dyDescent="0.2">
      <c r="A126" s="7">
        <f t="shared" si="9"/>
        <v>8.1681408993334773E-2</v>
      </c>
      <c r="B126" s="6">
        <f t="shared" si="5"/>
        <v>1.3008344084817875E-9</v>
      </c>
      <c r="C126" s="6">
        <f t="shared" si="6"/>
        <v>-7.2086159264017624E-10</v>
      </c>
      <c r="D126" s="6">
        <f t="shared" si="7"/>
        <v>9.9999999994200266</v>
      </c>
    </row>
    <row r="127" spans="1:4" x14ac:dyDescent="0.2">
      <c r="A127" s="7">
        <f t="shared" si="9"/>
        <v>8.2466807156732228E-2</v>
      </c>
      <c r="B127" s="6">
        <f t="shared" si="5"/>
        <v>9.9839594810728E-10</v>
      </c>
      <c r="C127" s="6">
        <f t="shared" si="6"/>
        <v>-5.681233261611851E-10</v>
      </c>
      <c r="D127" s="6">
        <f t="shared" si="7"/>
        <v>9.9999999995697273</v>
      </c>
    </row>
    <row r="128" spans="1:4" x14ac:dyDescent="0.2">
      <c r="A128" s="7">
        <f t="shared" si="9"/>
        <v>8.3252205320129682E-2</v>
      </c>
      <c r="B128" s="6">
        <f t="shared" si="5"/>
        <v>7.6074677755953627E-10</v>
      </c>
      <c r="C128" s="6">
        <f t="shared" si="6"/>
        <v>-4.4497738826976274E-10</v>
      </c>
      <c r="D128" s="6">
        <f t="shared" si="7"/>
        <v>9.9999999996842313</v>
      </c>
    </row>
    <row r="129" spans="1:4" x14ac:dyDescent="0.2">
      <c r="A129" s="7">
        <f t="shared" si="9"/>
        <v>8.4037603483527137E-2</v>
      </c>
      <c r="B129" s="6">
        <f t="shared" si="5"/>
        <v>5.7517075700653393E-10</v>
      </c>
      <c r="C129" s="6">
        <f t="shared" si="6"/>
        <v>-3.4632918755050923E-10</v>
      </c>
      <c r="D129" s="6">
        <f t="shared" si="7"/>
        <v>9.9999999997711591</v>
      </c>
    </row>
    <row r="130" spans="1:4" x14ac:dyDescent="0.2">
      <c r="A130" s="7">
        <f t="shared" si="9"/>
        <v>8.4823001646924592E-2</v>
      </c>
      <c r="B130" s="6">
        <f t="shared" si="5"/>
        <v>4.3118180761515103E-10</v>
      </c>
      <c r="C130" s="6">
        <f t="shared" si="6"/>
        <v>-2.6780355710798176E-10</v>
      </c>
      <c r="D130" s="6">
        <f t="shared" si="7"/>
        <v>9.9999999998366214</v>
      </c>
    </row>
    <row r="131" spans="1:4" x14ac:dyDescent="0.2">
      <c r="A131" s="7">
        <f t="shared" si="9"/>
        <v>8.5608399810322047E-2</v>
      </c>
      <c r="B131" s="6">
        <f t="shared" si="5"/>
        <v>3.2019907508358113E-10</v>
      </c>
      <c r="C131" s="6">
        <f t="shared" si="6"/>
        <v>-2.056790293636368E-10</v>
      </c>
      <c r="D131" s="6">
        <f t="shared" si="7"/>
        <v>9.9999999998854801</v>
      </c>
    </row>
    <row r="132" spans="1:4" x14ac:dyDescent="0.2">
      <c r="A132" s="7">
        <f t="shared" si="9"/>
        <v>8.6393797973719502E-2</v>
      </c>
      <c r="B132" s="6">
        <f t="shared" si="5"/>
        <v>2.3525092154411847E-10</v>
      </c>
      <c r="C132" s="6">
        <f t="shared" si="6"/>
        <v>-1.5683276899380871E-10</v>
      </c>
      <c r="D132" s="6">
        <f t="shared" si="7"/>
        <v>9.9999999999215827</v>
      </c>
    </row>
    <row r="133" spans="1:4" x14ac:dyDescent="0.2">
      <c r="A133" s="7">
        <f t="shared" si="9"/>
        <v>8.7179196137116957E-2</v>
      </c>
      <c r="B133" s="6">
        <f t="shared" si="5"/>
        <v>1.7071139869725276E-10</v>
      </c>
      <c r="C133" s="6">
        <f t="shared" si="6"/>
        <v>-1.1866774229929433E-10</v>
      </c>
      <c r="D133" s="6">
        <f t="shared" si="7"/>
        <v>9.9999999999479563</v>
      </c>
    </row>
    <row r="134" spans="1:4" x14ac:dyDescent="0.2">
      <c r="A134" s="7">
        <f t="shared" si="9"/>
        <v>8.7964594300514412E-2</v>
      </c>
      <c r="B134" s="6">
        <f t="shared" si="5"/>
        <v>1.2206989286328243E-10</v>
      </c>
      <c r="C134" s="6">
        <f t="shared" si="6"/>
        <v>-8.9036333861258754E-11</v>
      </c>
      <c r="D134" s="6">
        <f t="shared" si="7"/>
        <v>9.9999999999669669</v>
      </c>
    </row>
    <row r="135" spans="1:4" x14ac:dyDescent="0.2">
      <c r="A135" s="7">
        <f t="shared" si="9"/>
        <v>8.8749992463911867E-2</v>
      </c>
      <c r="B135" s="6">
        <f t="shared" si="5"/>
        <v>8.5732749763921253E-11</v>
      </c>
      <c r="C135" s="6">
        <f t="shared" si="6"/>
        <v>-6.6183503122374532E-11</v>
      </c>
      <c r="D135" s="6">
        <f t="shared" si="7"/>
        <v>9.9999999999804512</v>
      </c>
    </row>
    <row r="136" spans="1:4" x14ac:dyDescent="0.2">
      <c r="A136" s="7">
        <f t="shared" si="9"/>
        <v>8.9535390627309322E-2</v>
      </c>
      <c r="B136" s="6">
        <f t="shared" si="5"/>
        <v>5.885456984508052E-11</v>
      </c>
      <c r="C136" s="6">
        <f t="shared" si="6"/>
        <v>-4.8677506470085063E-11</v>
      </c>
      <c r="D136" s="6">
        <f t="shared" si="7"/>
        <v>9.9999999999898233</v>
      </c>
    </row>
    <row r="137" spans="1:4" x14ac:dyDescent="0.2">
      <c r="A137" s="7">
        <f t="shared" si="9"/>
        <v>9.0320788790706777E-2</v>
      </c>
      <c r="B137" s="6">
        <f t="shared" si="5"/>
        <v>3.9196280692782965E-11</v>
      </c>
      <c r="C137" s="6">
        <f t="shared" si="6"/>
        <v>-3.5370817386137787E-11</v>
      </c>
      <c r="D137" s="6">
        <f t="shared" si="7"/>
        <v>9.9999999999961737</v>
      </c>
    </row>
    <row r="138" spans="1:4" x14ac:dyDescent="0.2">
      <c r="A138" s="7">
        <f t="shared" si="9"/>
        <v>9.1106186954104232E-2</v>
      </c>
      <c r="B138" s="6">
        <f t="shared" si="5"/>
        <v>2.500686997954905E-11</v>
      </c>
      <c r="C138" s="6">
        <f t="shared" si="6"/>
        <v>-2.5330848529847572E-11</v>
      </c>
      <c r="D138" s="6">
        <f t="shared" si="7"/>
        <v>10.000000000000323</v>
      </c>
    </row>
    <row r="139" spans="1:4" x14ac:dyDescent="0.2">
      <c r="A139" s="7">
        <f t="shared" si="9"/>
        <v>9.1891585117501687E-2</v>
      </c>
      <c r="B139" s="6">
        <f t="shared" si="5"/>
        <v>1.4925675619291544E-11</v>
      </c>
      <c r="C139" s="6">
        <f t="shared" si="6"/>
        <v>-1.7823964526542113E-11</v>
      </c>
      <c r="D139" s="6">
        <f t="shared" si="7"/>
        <v>10.000000000002899</v>
      </c>
    </row>
    <row r="140" spans="1:4" x14ac:dyDescent="0.2">
      <c r="A140" s="7">
        <f t="shared" si="9"/>
        <v>9.2676983280899142E-2</v>
      </c>
      <c r="B140" s="6">
        <f t="shared" si="5"/>
        <v>7.9022899411672477E-12</v>
      </c>
      <c r="C140" s="6">
        <f t="shared" si="6"/>
        <v>-1.226929668973753E-11</v>
      </c>
      <c r="D140" s="6">
        <f t="shared" si="7"/>
        <v>10.000000000004366</v>
      </c>
    </row>
    <row r="141" spans="1:4" x14ac:dyDescent="0.2">
      <c r="A141" s="7">
        <f t="shared" si="9"/>
        <v>9.3462381444296597E-2</v>
      </c>
      <c r="B141" s="6">
        <f t="shared" si="5"/>
        <v>3.1313786828658446E-12</v>
      </c>
      <c r="C141" s="6">
        <f t="shared" si="6"/>
        <v>-8.1961104569927556E-12</v>
      </c>
      <c r="D141" s="6">
        <f t="shared" si="7"/>
        <v>10.000000000005064</v>
      </c>
    </row>
    <row r="142" spans="1:4" x14ac:dyDescent="0.2">
      <c r="A142" s="7">
        <f t="shared" si="9"/>
        <v>9.4247779607694052E-2</v>
      </c>
      <c r="B142" s="6">
        <f t="shared" si="5"/>
        <v>-6.045657208487161E-25</v>
      </c>
      <c r="C142" s="6">
        <f t="shared" si="6"/>
        <v>-5.2562398877853411E-12</v>
      </c>
      <c r="D142" s="6">
        <f t="shared" si="7"/>
        <v>10.000000000005256</v>
      </c>
    </row>
    <row r="143" spans="1:4" x14ac:dyDescent="0.2">
      <c r="A143" s="7">
        <f t="shared" si="9"/>
        <v>9.5033177771091507E-2</v>
      </c>
      <c r="B143" s="6">
        <f t="shared" si="5"/>
        <v>-1.9546956103668143E-12</v>
      </c>
      <c r="C143" s="6">
        <f t="shared" si="6"/>
        <v>-3.1619151741324458E-12</v>
      </c>
      <c r="D143" s="6">
        <f t="shared" si="7"/>
        <v>10.000000000005116</v>
      </c>
    </row>
    <row r="144" spans="1:4" x14ac:dyDescent="0.2">
      <c r="A144" s="7">
        <f t="shared" si="9"/>
        <v>9.5818575934488961E-2</v>
      </c>
      <c r="B144" s="6">
        <f t="shared" si="5"/>
        <v>-3.0792152863457098E-12</v>
      </c>
      <c r="C144" s="6">
        <f t="shared" si="6"/>
        <v>-1.7017498521454399E-12</v>
      </c>
      <c r="D144" s="6">
        <f t="shared" si="7"/>
        <v>10.00000000000478</v>
      </c>
    </row>
    <row r="145" spans="1:4" x14ac:dyDescent="0.2">
      <c r="A145" s="7">
        <f t="shared" si="9"/>
        <v>9.6603974097886416E-2</v>
      </c>
      <c r="B145" s="6">
        <f t="shared" si="5"/>
        <v>-3.6304849404446229E-12</v>
      </c>
      <c r="C145" s="6">
        <f t="shared" si="6"/>
        <v>-7.0521366524189943E-13</v>
      </c>
      <c r="D145" s="6">
        <f t="shared" si="7"/>
        <v>10.000000000004336</v>
      </c>
    </row>
    <row r="146" spans="1:4" x14ac:dyDescent="0.2">
      <c r="A146" s="7">
        <f t="shared" si="9"/>
        <v>9.7389372261283871E-2</v>
      </c>
      <c r="B146" s="6">
        <f t="shared" si="5"/>
        <v>-3.7969381583710023E-12</v>
      </c>
      <c r="C146" s="6">
        <f t="shared" si="6"/>
        <v>-4.9737991503207013E-14</v>
      </c>
      <c r="D146" s="6">
        <f t="shared" si="7"/>
        <v>10.000000000003846</v>
      </c>
    </row>
    <row r="147" spans="1:4" x14ac:dyDescent="0.2">
      <c r="A147" s="7">
        <f t="shared" si="9"/>
        <v>9.8174770424681326E-2</v>
      </c>
      <c r="B147" s="6">
        <f t="shared" si="5"/>
        <v>-3.7150322970384344E-12</v>
      </c>
      <c r="C147" s="6">
        <f t="shared" si="6"/>
        <v>3.6060043839825084E-13</v>
      </c>
      <c r="D147" s="6">
        <f t="shared" si="7"/>
        <v>10.000000000003354</v>
      </c>
    </row>
    <row r="148" spans="1:4" x14ac:dyDescent="0.2">
      <c r="A148" s="7">
        <f t="shared" si="9"/>
        <v>9.8960168588078781E-2</v>
      </c>
      <c r="B148" s="6">
        <f t="shared" si="5"/>
        <v>-3.4821018623075138E-12</v>
      </c>
      <c r="C148" s="6">
        <f t="shared" si="6"/>
        <v>6.0218496855668491E-13</v>
      </c>
      <c r="D148" s="6">
        <f t="shared" si="7"/>
        <v>10.000000000002879</v>
      </c>
    </row>
    <row r="149" spans="1:4" x14ac:dyDescent="0.2">
      <c r="A149" s="7">
        <f t="shared" si="9"/>
        <v>9.9745566751476236E-2</v>
      </c>
      <c r="B149" s="6">
        <f t="shared" si="5"/>
        <v>-3.1662965070827796E-12</v>
      </c>
      <c r="C149" s="6">
        <f t="shared" si="6"/>
        <v>7.2120087679650169E-13</v>
      </c>
      <c r="D149" s="6">
        <f t="shared" si="7"/>
        <v>10.000000000002444</v>
      </c>
    </row>
    <row r="150" spans="1:4" x14ac:dyDescent="0.2">
      <c r="A150" s="7">
        <f t="shared" si="9"/>
        <v>0.10053096491487369</v>
      </c>
      <c r="B150" s="6">
        <f t="shared" ref="B150:B213" si="10">(($B$8/($B$6*$B$13))*EXP(-$B$11*A150)*SIN($B$13*A150))*$B$5</f>
        <v>-2.8142128309107548E-12</v>
      </c>
      <c r="C150" s="6">
        <f t="shared" ref="C150:C213" si="11">$B$8-B150-D150</f>
        <v>7.6205708410270745E-13</v>
      </c>
      <c r="D150" s="6">
        <f t="shared" ref="D150:D213" si="12">$B$8*(1-EXP(-$B$11*A150)*(COS($B$13*A150)+($B$11/$B$13)*SIN($B$13*A150)))</f>
        <v>10.000000000002052</v>
      </c>
    </row>
    <row r="151" spans="1:4" x14ac:dyDescent="0.2">
      <c r="A151" s="7">
        <f t="shared" ref="A151:A182" si="13">A150+$B$17</f>
        <v>0.10131636307827115</v>
      </c>
      <c r="B151" s="6">
        <f t="shared" si="10"/>
        <v>-2.4567131076647744E-12</v>
      </c>
      <c r="C151" s="6">
        <f t="shared" si="11"/>
        <v>7.496225862269057E-13</v>
      </c>
      <c r="D151" s="6">
        <f t="shared" si="12"/>
        <v>10.000000000001707</v>
      </c>
    </row>
    <row r="152" spans="1:4" x14ac:dyDescent="0.2">
      <c r="A152" s="7">
        <f t="shared" si="13"/>
        <v>0.1021017612416686</v>
      </c>
      <c r="B152" s="6">
        <f t="shared" si="10"/>
        <v>-2.1133274912196971E-12</v>
      </c>
      <c r="C152" s="6">
        <f t="shared" si="11"/>
        <v>7.0343730840249918E-13</v>
      </c>
      <c r="D152" s="6">
        <f t="shared" si="12"/>
        <v>10.00000000000141</v>
      </c>
    </row>
    <row r="153" spans="1:4" x14ac:dyDescent="0.2">
      <c r="A153" s="7">
        <f t="shared" si="13"/>
        <v>0.10288715940506606</v>
      </c>
      <c r="B153" s="6">
        <f t="shared" si="10"/>
        <v>-1.7955565571527839E-12</v>
      </c>
      <c r="C153" s="6">
        <f t="shared" si="11"/>
        <v>6.4304117586289067E-13</v>
      </c>
      <c r="D153" s="6">
        <f t="shared" si="12"/>
        <v>10.000000000001153</v>
      </c>
    </row>
    <row r="154" spans="1:4" x14ac:dyDescent="0.2">
      <c r="A154" s="7">
        <f t="shared" si="13"/>
        <v>0.10367255756846351</v>
      </c>
      <c r="B154" s="6">
        <f t="shared" si="10"/>
        <v>-1.5093257865021524E-12</v>
      </c>
      <c r="C154" s="6">
        <f t="shared" si="11"/>
        <v>5.7198690228688065E-13</v>
      </c>
      <c r="D154" s="6">
        <f t="shared" si="12"/>
        <v>10.000000000000938</v>
      </c>
    </row>
    <row r="155" spans="1:4" x14ac:dyDescent="0.2">
      <c r="A155" s="7">
        <f t="shared" si="13"/>
        <v>0.10445795573186097</v>
      </c>
      <c r="B155" s="6">
        <f t="shared" si="10"/>
        <v>-1.2567905526177357E-12</v>
      </c>
      <c r="C155" s="6">
        <f t="shared" si="11"/>
        <v>5.0093262871087063E-13</v>
      </c>
      <c r="D155" s="6">
        <f t="shared" si="12"/>
        <v>10.000000000000757</v>
      </c>
    </row>
    <row r="156" spans="1:4" x14ac:dyDescent="0.2">
      <c r="A156" s="7">
        <f t="shared" si="13"/>
        <v>0.10524335389525842</v>
      </c>
      <c r="B156" s="6">
        <f t="shared" si="10"/>
        <v>-1.0376473429665863E-12</v>
      </c>
      <c r="C156" s="6">
        <f t="shared" si="11"/>
        <v>4.3165471197426086E-13</v>
      </c>
      <c r="D156" s="6">
        <f t="shared" si="12"/>
        <v>10.000000000000606</v>
      </c>
    </row>
    <row r="157" spans="1:4" x14ac:dyDescent="0.2">
      <c r="A157" s="7">
        <f t="shared" si="13"/>
        <v>0.10602875205865588</v>
      </c>
      <c r="B157" s="6">
        <f t="shared" si="10"/>
        <v>-8.5007259151980799E-13</v>
      </c>
      <c r="C157" s="6">
        <f t="shared" si="11"/>
        <v>3.6770586575585185E-13</v>
      </c>
      <c r="D157" s="6">
        <f t="shared" si="12"/>
        <v>10.000000000000483</v>
      </c>
    </row>
    <row r="158" spans="1:4" x14ac:dyDescent="0.2">
      <c r="A158" s="7">
        <f t="shared" si="13"/>
        <v>0.10681415022205333</v>
      </c>
      <c r="B158" s="6">
        <f t="shared" si="10"/>
        <v>-6.9138311145289962E-13</v>
      </c>
      <c r="C158" s="6">
        <f t="shared" si="11"/>
        <v>3.0730973321624333E-13</v>
      </c>
      <c r="D158" s="6">
        <f t="shared" si="12"/>
        <v>10.000000000000384</v>
      </c>
    </row>
    <row r="159" spans="1:4" x14ac:dyDescent="0.2">
      <c r="A159" s="7">
        <f t="shared" si="13"/>
        <v>0.10759954838545079</v>
      </c>
      <c r="B159" s="6">
        <f t="shared" si="10"/>
        <v>-5.5849042326286338E-13</v>
      </c>
      <c r="C159" s="6">
        <f t="shared" si="11"/>
        <v>2.5579538487363607E-13</v>
      </c>
      <c r="D159" s="6">
        <f t="shared" si="12"/>
        <v>10.000000000000302</v>
      </c>
    </row>
    <row r="160" spans="1:4" x14ac:dyDescent="0.2">
      <c r="A160" s="7">
        <f t="shared" si="13"/>
        <v>0.10838494654884824</v>
      </c>
      <c r="B160" s="6">
        <f t="shared" si="10"/>
        <v>-4.4820419309747995E-13</v>
      </c>
      <c r="C160" s="6">
        <f t="shared" si="11"/>
        <v>2.1316282072803006E-13</v>
      </c>
      <c r="D160" s="6">
        <f t="shared" si="12"/>
        <v>10.000000000000234</v>
      </c>
    </row>
    <row r="161" spans="1:4" x14ac:dyDescent="0.2">
      <c r="A161" s="7">
        <f t="shared" si="13"/>
        <v>0.1091703447122457</v>
      </c>
      <c r="B161" s="6">
        <f t="shared" si="10"/>
        <v>-3.5742663203272697E-13</v>
      </c>
      <c r="C161" s="6">
        <f t="shared" si="11"/>
        <v>1.723066134218243E-13</v>
      </c>
      <c r="D161" s="6">
        <f t="shared" si="12"/>
        <v>10.000000000000185</v>
      </c>
    </row>
    <row r="162" spans="1:4" x14ac:dyDescent="0.2">
      <c r="A162" s="7">
        <f t="shared" si="13"/>
        <v>0.10995574287564315</v>
      </c>
      <c r="B162" s="6">
        <f t="shared" si="10"/>
        <v>-2.8326931675975308E-13</v>
      </c>
      <c r="C162" s="6">
        <f t="shared" si="11"/>
        <v>1.4033219031261979E-13</v>
      </c>
      <c r="D162" s="6">
        <f t="shared" si="12"/>
        <v>10.000000000000142</v>
      </c>
    </row>
    <row r="163" spans="1:4" x14ac:dyDescent="0.2">
      <c r="A163" s="7">
        <f t="shared" si="13"/>
        <v>0.11074114103904061</v>
      </c>
      <c r="B163" s="6">
        <f t="shared" si="10"/>
        <v>-2.2311586665807114E-13</v>
      </c>
      <c r="C163" s="6">
        <f t="shared" si="11"/>
        <v>1.1546319456101628E-13</v>
      </c>
      <c r="D163" s="6">
        <f t="shared" si="12"/>
        <v>10.000000000000108</v>
      </c>
    </row>
    <row r="164" spans="1:4" x14ac:dyDescent="0.2">
      <c r="A164" s="7">
        <f t="shared" si="13"/>
        <v>0.11152653920243806</v>
      </c>
      <c r="B164" s="6">
        <f t="shared" si="10"/>
        <v>-1.7464775565876098E-13</v>
      </c>
      <c r="C164" s="6">
        <f t="shared" si="11"/>
        <v>9.2370555648813024E-14</v>
      </c>
      <c r="D164" s="6">
        <f t="shared" si="12"/>
        <v>10.000000000000082</v>
      </c>
    </row>
    <row r="165" spans="1:4" x14ac:dyDescent="0.2">
      <c r="A165" s="7">
        <f t="shared" si="13"/>
        <v>0.11231193736583552</v>
      </c>
      <c r="B165" s="6">
        <f t="shared" si="10"/>
        <v>-1.3584584864067043E-13</v>
      </c>
      <c r="C165" s="6">
        <f t="shared" si="11"/>
        <v>7.2830630415410269E-14</v>
      </c>
      <c r="D165" s="6">
        <f t="shared" si="12"/>
        <v>10.000000000000062</v>
      </c>
    </row>
    <row r="166" spans="1:4" x14ac:dyDescent="0.2">
      <c r="A166" s="7">
        <f t="shared" si="13"/>
        <v>0.11309733552923297</v>
      </c>
      <c r="B166" s="6">
        <f t="shared" si="10"/>
        <v>-1.0497670920332342E-13</v>
      </c>
      <c r="C166" s="6">
        <f t="shared" si="11"/>
        <v>5.8619775700208265E-14</v>
      </c>
      <c r="D166" s="6">
        <f t="shared" si="12"/>
        <v>10.000000000000046</v>
      </c>
    </row>
    <row r="167" spans="1:4" x14ac:dyDescent="0.2">
      <c r="A167" s="7">
        <f t="shared" si="13"/>
        <v>0.11388273369263043</v>
      </c>
      <c r="B167" s="6">
        <f t="shared" si="10"/>
        <v>-8.057007135639727E-14</v>
      </c>
      <c r="C167" s="6">
        <f t="shared" si="11"/>
        <v>4.4408920985006262E-14</v>
      </c>
      <c r="D167" s="6">
        <f t="shared" si="12"/>
        <v>10.000000000000036</v>
      </c>
    </row>
    <row r="168" spans="1:4" x14ac:dyDescent="0.2">
      <c r="A168" s="7">
        <f t="shared" si="13"/>
        <v>0.11466813185602788</v>
      </c>
      <c r="B168" s="6">
        <f t="shared" si="10"/>
        <v>-6.1391897942212635E-14</v>
      </c>
      <c r="C168" s="6">
        <f t="shared" si="11"/>
        <v>3.730349362740526E-14</v>
      </c>
      <c r="D168" s="6">
        <f t="shared" si="12"/>
        <v>10.000000000000025</v>
      </c>
    </row>
    <row r="169" spans="1:4" x14ac:dyDescent="0.2">
      <c r="A169" s="7">
        <f t="shared" si="13"/>
        <v>0.11545353001942533</v>
      </c>
      <c r="B169" s="6">
        <f t="shared" si="10"/>
        <v>-4.6416002610969918E-14</v>
      </c>
      <c r="C169" s="6">
        <f t="shared" si="11"/>
        <v>2.8421709430404007E-14</v>
      </c>
      <c r="D169" s="6">
        <f t="shared" si="12"/>
        <v>10.000000000000018</v>
      </c>
    </row>
    <row r="170" spans="1:4" x14ac:dyDescent="0.2">
      <c r="A170" s="7">
        <f t="shared" si="13"/>
        <v>0.11623892818282279</v>
      </c>
      <c r="B170" s="6">
        <f t="shared" si="10"/>
        <v>-3.4796163859631287E-14</v>
      </c>
      <c r="C170" s="6">
        <f t="shared" si="11"/>
        <v>2.1316282072803006E-14</v>
      </c>
      <c r="D170" s="6">
        <f t="shared" si="12"/>
        <v>10.000000000000014</v>
      </c>
    </row>
    <row r="171" spans="1:4" x14ac:dyDescent="0.2">
      <c r="A171" s="7">
        <f t="shared" si="13"/>
        <v>0.11702432634622024</v>
      </c>
      <c r="B171" s="6">
        <f t="shared" si="10"/>
        <v>-2.5839910885700126E-14</v>
      </c>
      <c r="C171" s="6">
        <f t="shared" si="11"/>
        <v>1.7763568394002505E-14</v>
      </c>
      <c r="D171" s="6">
        <f t="shared" si="12"/>
        <v>10.000000000000009</v>
      </c>
    </row>
    <row r="172" spans="1:4" x14ac:dyDescent="0.2">
      <c r="A172" s="7">
        <f t="shared" si="13"/>
        <v>0.1178097245096177</v>
      </c>
      <c r="B172" s="6">
        <f t="shared" si="10"/>
        <v>-1.8984635876577988E-14</v>
      </c>
      <c r="C172" s="6">
        <f t="shared" si="11"/>
        <v>0</v>
      </c>
      <c r="D172" s="6">
        <f t="shared" si="12"/>
        <v>10.000000000000007</v>
      </c>
    </row>
    <row r="173" spans="1:4" x14ac:dyDescent="0.2">
      <c r="A173" s="7">
        <f t="shared" si="13"/>
        <v>0.11859512267301515</v>
      </c>
      <c r="B173" s="6">
        <f t="shared" si="10"/>
        <v>-1.3776327518618704E-14</v>
      </c>
      <c r="C173" s="6">
        <f t="shared" si="11"/>
        <v>0</v>
      </c>
      <c r="D173" s="6">
        <f t="shared" si="12"/>
        <v>10.000000000000004</v>
      </c>
    </row>
    <row r="174" spans="1:4" x14ac:dyDescent="0.2">
      <c r="A174" s="7">
        <f t="shared" si="13"/>
        <v>0.11938052083641261</v>
      </c>
      <c r="B174" s="6">
        <f t="shared" si="10"/>
        <v>-9.8509814639245612E-15</v>
      </c>
      <c r="C174" s="6">
        <f t="shared" si="11"/>
        <v>0</v>
      </c>
      <c r="D174" s="6">
        <f t="shared" si="12"/>
        <v>10.000000000000002</v>
      </c>
    </row>
    <row r="175" spans="1:4" x14ac:dyDescent="0.2">
      <c r="A175" s="7">
        <f t="shared" si="13"/>
        <v>0.12016591899981006</v>
      </c>
      <c r="B175" s="6">
        <f t="shared" si="10"/>
        <v>-6.9185915459232489E-15</v>
      </c>
      <c r="C175" s="6">
        <f t="shared" si="11"/>
        <v>0</v>
      </c>
      <c r="D175" s="6">
        <f t="shared" si="12"/>
        <v>10.000000000000002</v>
      </c>
    </row>
    <row r="176" spans="1:4" x14ac:dyDescent="0.2">
      <c r="A176" s="7">
        <f t="shared" si="13"/>
        <v>0.12095131716320752</v>
      </c>
      <c r="B176" s="6">
        <f t="shared" si="10"/>
        <v>-4.7495353933051776E-15</v>
      </c>
      <c r="C176" s="6">
        <f t="shared" si="11"/>
        <v>0</v>
      </c>
      <c r="D176" s="6">
        <f t="shared" si="12"/>
        <v>10</v>
      </c>
    </row>
    <row r="177" spans="1:4" x14ac:dyDescent="0.2">
      <c r="A177" s="7">
        <f t="shared" si="13"/>
        <v>0.12173671532660497</v>
      </c>
      <c r="B177" s="6">
        <f t="shared" si="10"/>
        <v>-3.1631209424573943E-15</v>
      </c>
      <c r="C177" s="6">
        <f t="shared" si="11"/>
        <v>0</v>
      </c>
      <c r="D177" s="6">
        <f t="shared" si="12"/>
        <v>10</v>
      </c>
    </row>
    <row r="178" spans="1:4" x14ac:dyDescent="0.2">
      <c r="A178" s="7">
        <f t="shared" si="13"/>
        <v>0.12252211349000243</v>
      </c>
      <c r="B178" s="6">
        <f t="shared" si="10"/>
        <v>-2.0180423432926237E-15</v>
      </c>
      <c r="C178" s="6">
        <f t="shared" si="11"/>
        <v>0</v>
      </c>
      <c r="D178" s="6">
        <f t="shared" si="12"/>
        <v>10</v>
      </c>
    </row>
    <row r="179" spans="1:4" x14ac:dyDescent="0.2">
      <c r="A179" s="7">
        <f t="shared" si="13"/>
        <v>0.12330751165339988</v>
      </c>
      <c r="B179" s="6">
        <f t="shared" si="10"/>
        <v>-1.2044948218874668E-15</v>
      </c>
      <c r="C179" s="6">
        <f t="shared" si="11"/>
        <v>0</v>
      </c>
      <c r="D179" s="6">
        <f t="shared" si="12"/>
        <v>10</v>
      </c>
    </row>
    <row r="180" spans="1:4" x14ac:dyDescent="0.2">
      <c r="A180" s="7">
        <f t="shared" si="13"/>
        <v>0.12409290981679734</v>
      </c>
      <c r="B180" s="6">
        <f t="shared" si="10"/>
        <v>-6.3771098595272317E-16</v>
      </c>
      <c r="C180" s="6">
        <f t="shared" si="11"/>
        <v>0</v>
      </c>
      <c r="D180" s="6">
        <f t="shared" si="12"/>
        <v>10</v>
      </c>
    </row>
    <row r="181" spans="1:4" x14ac:dyDescent="0.2">
      <c r="A181" s="7">
        <f t="shared" si="13"/>
        <v>0.12487830798019479</v>
      </c>
      <c r="B181" s="6">
        <f t="shared" si="10"/>
        <v>-2.5270074903711515E-16</v>
      </c>
      <c r="C181" s="6">
        <f t="shared" si="11"/>
        <v>0</v>
      </c>
      <c r="D181" s="6">
        <f t="shared" si="12"/>
        <v>10</v>
      </c>
    </row>
    <row r="182" spans="1:4" x14ac:dyDescent="0.2">
      <c r="A182" s="7">
        <f t="shared" si="13"/>
        <v>0.12566370614359224</v>
      </c>
      <c r="B182" s="6">
        <f t="shared" si="10"/>
        <v>1.0724015098363555E-28</v>
      </c>
      <c r="C182" s="6">
        <f t="shared" si="11"/>
        <v>0</v>
      </c>
      <c r="D182" s="6">
        <f t="shared" si="12"/>
        <v>10</v>
      </c>
    </row>
    <row r="183" spans="1:4" x14ac:dyDescent="0.2">
      <c r="A183" s="7">
        <f t="shared" ref="A183:A214" si="14">A182+$B$17</f>
        <v>0.12644910430698969</v>
      </c>
      <c r="B183" s="6">
        <f t="shared" si="10"/>
        <v>1.5774299275342835E-16</v>
      </c>
      <c r="C183" s="6">
        <f t="shared" si="11"/>
        <v>0</v>
      </c>
      <c r="D183" s="6">
        <f t="shared" si="12"/>
        <v>10</v>
      </c>
    </row>
    <row r="184" spans="1:4" x14ac:dyDescent="0.2">
      <c r="A184" s="7">
        <f t="shared" si="14"/>
        <v>0.12723450247038715</v>
      </c>
      <c r="B184" s="6">
        <f t="shared" si="10"/>
        <v>2.4849118810322281E-16</v>
      </c>
      <c r="C184" s="6">
        <f t="shared" si="11"/>
        <v>0</v>
      </c>
      <c r="D184" s="6">
        <f t="shared" si="12"/>
        <v>10</v>
      </c>
    </row>
    <row r="185" spans="1:4" x14ac:dyDescent="0.2">
      <c r="A185" s="7">
        <f t="shared" si="14"/>
        <v>0.1280199006337846</v>
      </c>
      <c r="B185" s="6">
        <f t="shared" si="10"/>
        <v>2.9297838324014344E-16</v>
      </c>
      <c r="C185" s="6">
        <f t="shared" si="11"/>
        <v>0</v>
      </c>
      <c r="D185" s="6">
        <f t="shared" si="12"/>
        <v>10</v>
      </c>
    </row>
    <row r="186" spans="1:4" x14ac:dyDescent="0.2">
      <c r="A186" s="7">
        <f t="shared" si="14"/>
        <v>0.12880529879718206</v>
      </c>
      <c r="B186" s="6">
        <f t="shared" si="10"/>
        <v>3.0641107762481972E-16</v>
      </c>
      <c r="C186" s="6">
        <f t="shared" si="11"/>
        <v>0</v>
      </c>
      <c r="D186" s="6">
        <f t="shared" si="12"/>
        <v>10</v>
      </c>
    </row>
    <row r="187" spans="1:4" x14ac:dyDescent="0.2">
      <c r="A187" s="7">
        <f t="shared" si="14"/>
        <v>0.12959069696057951</v>
      </c>
      <c r="B187" s="6">
        <f t="shared" si="10"/>
        <v>2.9980131412909556E-16</v>
      </c>
      <c r="C187" s="6">
        <f t="shared" si="11"/>
        <v>0</v>
      </c>
      <c r="D187" s="6">
        <f t="shared" si="12"/>
        <v>10</v>
      </c>
    </row>
    <row r="188" spans="1:4" x14ac:dyDescent="0.2">
      <c r="A188" s="7">
        <f t="shared" si="14"/>
        <v>0.13037609512397696</v>
      </c>
      <c r="B188" s="6">
        <f t="shared" si="10"/>
        <v>2.810039404188674E-16</v>
      </c>
      <c r="C188" s="6">
        <f t="shared" si="11"/>
        <v>0</v>
      </c>
      <c r="D188" s="6">
        <f t="shared" si="12"/>
        <v>10</v>
      </c>
    </row>
    <row r="189" spans="1:4" x14ac:dyDescent="0.2">
      <c r="A189" s="7">
        <f t="shared" si="14"/>
        <v>0.13116149328737442</v>
      </c>
      <c r="B189" s="6">
        <f t="shared" si="10"/>
        <v>2.5551860060611054E-16</v>
      </c>
      <c r="C189" s="6">
        <f t="shared" si="11"/>
        <v>0</v>
      </c>
      <c r="D189" s="6">
        <f t="shared" si="12"/>
        <v>10</v>
      </c>
    </row>
    <row r="190" spans="1:4" x14ac:dyDescent="0.2">
      <c r="A190" s="7">
        <f t="shared" si="14"/>
        <v>0.13194689145077187</v>
      </c>
      <c r="B190" s="6">
        <f t="shared" si="10"/>
        <v>2.2710561779464887E-16</v>
      </c>
      <c r="C190" s="6">
        <f t="shared" si="11"/>
        <v>0</v>
      </c>
      <c r="D190" s="6">
        <f t="shared" si="12"/>
        <v>10</v>
      </c>
    </row>
    <row r="191" spans="1:4" x14ac:dyDescent="0.2">
      <c r="A191" s="7">
        <f t="shared" si="14"/>
        <v>0.13273228961416933</v>
      </c>
      <c r="B191" s="6">
        <f t="shared" si="10"/>
        <v>1.9825556259718103E-16</v>
      </c>
      <c r="C191" s="6">
        <f t="shared" si="11"/>
        <v>0</v>
      </c>
      <c r="D191" s="6">
        <f t="shared" si="12"/>
        <v>10</v>
      </c>
    </row>
    <row r="192" spans="1:4" x14ac:dyDescent="0.2">
      <c r="A192" s="7">
        <f t="shared" si="14"/>
        <v>0.13351768777756678</v>
      </c>
      <c r="B192" s="6">
        <f t="shared" si="10"/>
        <v>1.7054450900948237E-16</v>
      </c>
      <c r="C192" s="6">
        <f t="shared" si="11"/>
        <v>0</v>
      </c>
      <c r="D192" s="6">
        <f t="shared" si="12"/>
        <v>10</v>
      </c>
    </row>
    <row r="193" spans="1:4" x14ac:dyDescent="0.2">
      <c r="A193" s="7">
        <f t="shared" si="14"/>
        <v>0.13430308594096424</v>
      </c>
      <c r="B193" s="6">
        <f t="shared" si="10"/>
        <v>1.4490054793241879E-16</v>
      </c>
      <c r="C193" s="6">
        <f t="shared" si="11"/>
        <v>0</v>
      </c>
      <c r="D193" s="6">
        <f t="shared" si="12"/>
        <v>10</v>
      </c>
    </row>
    <row r="194" spans="1:4" x14ac:dyDescent="0.2">
      <c r="A194" s="7">
        <f t="shared" si="14"/>
        <v>0.13508848410436169</v>
      </c>
      <c r="B194" s="6">
        <f t="shared" si="10"/>
        <v>1.2180186282713683E-16</v>
      </c>
      <c r="C194" s="6">
        <f t="shared" si="11"/>
        <v>0</v>
      </c>
      <c r="D194" s="6">
        <f t="shared" si="12"/>
        <v>10</v>
      </c>
    </row>
    <row r="195" spans="1:4" x14ac:dyDescent="0.2">
      <c r="A195" s="7">
        <f t="shared" si="14"/>
        <v>0.13587388226775915</v>
      </c>
      <c r="B195" s="6">
        <f t="shared" si="10"/>
        <v>1.0142239128316167E-16</v>
      </c>
      <c r="C195" s="6">
        <f t="shared" si="11"/>
        <v>0</v>
      </c>
      <c r="D195" s="6">
        <f t="shared" si="12"/>
        <v>10</v>
      </c>
    </row>
    <row r="196" spans="1:4" x14ac:dyDescent="0.2">
      <c r="A196" s="7">
        <f t="shared" si="14"/>
        <v>0.1366592804311566</v>
      </c>
      <c r="B196" s="6">
        <f t="shared" si="10"/>
        <v>8.3737639985506369E-17</v>
      </c>
      <c r="C196" s="6">
        <f t="shared" si="11"/>
        <v>0</v>
      </c>
      <c r="D196" s="6">
        <f t="shared" si="12"/>
        <v>10</v>
      </c>
    </row>
    <row r="197" spans="1:4" x14ac:dyDescent="0.2">
      <c r="A197" s="7">
        <f t="shared" si="14"/>
        <v>0.13744467859455406</v>
      </c>
      <c r="B197" s="6">
        <f t="shared" si="10"/>
        <v>6.86004480353829E-17</v>
      </c>
      <c r="C197" s="6">
        <f t="shared" si="11"/>
        <v>0</v>
      </c>
      <c r="D197" s="6">
        <f t="shared" si="12"/>
        <v>10</v>
      </c>
    </row>
    <row r="198" spans="1:4" x14ac:dyDescent="0.2">
      <c r="A198" s="7">
        <f t="shared" si="14"/>
        <v>0.13823007675795151</v>
      </c>
      <c r="B198" s="6">
        <f t="shared" si="10"/>
        <v>5.5794283550501399E-17</v>
      </c>
      <c r="C198" s="6">
        <f t="shared" si="11"/>
        <v>0</v>
      </c>
      <c r="D198" s="6">
        <f t="shared" si="12"/>
        <v>10</v>
      </c>
    </row>
    <row r="199" spans="1:4" x14ac:dyDescent="0.2">
      <c r="A199" s="7">
        <f t="shared" si="14"/>
        <v>0.13901547492134897</v>
      </c>
      <c r="B199" s="6">
        <f t="shared" si="10"/>
        <v>4.5069907724944879E-17</v>
      </c>
      <c r="C199" s="6">
        <f t="shared" si="11"/>
        <v>0</v>
      </c>
      <c r="D199" s="6">
        <f t="shared" si="12"/>
        <v>10</v>
      </c>
    </row>
    <row r="200" spans="1:4" x14ac:dyDescent="0.2">
      <c r="A200" s="7">
        <f t="shared" si="14"/>
        <v>0.13980087308474642</v>
      </c>
      <c r="B200" s="6">
        <f t="shared" si="10"/>
        <v>3.6169862155951725E-17</v>
      </c>
      <c r="C200" s="6">
        <f t="shared" si="11"/>
        <v>0</v>
      </c>
      <c r="D200" s="6">
        <f t="shared" si="12"/>
        <v>10</v>
      </c>
    </row>
    <row r="201" spans="1:4" x14ac:dyDescent="0.2">
      <c r="A201" s="7">
        <f t="shared" si="14"/>
        <v>0.14058627124814388</v>
      </c>
      <c r="B201" s="6">
        <f t="shared" si="10"/>
        <v>2.8844156771817753E-17</v>
      </c>
      <c r="C201" s="6">
        <f t="shared" si="11"/>
        <v>0</v>
      </c>
      <c r="D201" s="6">
        <f t="shared" si="12"/>
        <v>10</v>
      </c>
    </row>
    <row r="202" spans="1:4" x14ac:dyDescent="0.2">
      <c r="A202" s="7">
        <f t="shared" si="14"/>
        <v>0.14137166941154133</v>
      </c>
      <c r="B202" s="6">
        <f t="shared" si="10"/>
        <v>2.2859697204980177E-17</v>
      </c>
      <c r="C202" s="6">
        <f t="shared" si="11"/>
        <v>0</v>
      </c>
      <c r="D202" s="6">
        <f t="shared" si="12"/>
        <v>10</v>
      </c>
    </row>
    <row r="203" spans="1:4" x14ac:dyDescent="0.2">
      <c r="A203" s="7">
        <f t="shared" si="14"/>
        <v>0.14215706757493879</v>
      </c>
      <c r="B203" s="6">
        <f t="shared" si="10"/>
        <v>1.8005342801585378E-17</v>
      </c>
      <c r="C203" s="6">
        <f t="shared" si="11"/>
        <v>0</v>
      </c>
      <c r="D203" s="6">
        <f t="shared" si="12"/>
        <v>10</v>
      </c>
    </row>
    <row r="204" spans="1:4" x14ac:dyDescent="0.2">
      <c r="A204" s="7">
        <f t="shared" si="14"/>
        <v>0.14294246573833624</v>
      </c>
      <c r="B204" s="6">
        <f t="shared" si="10"/>
        <v>1.4093989626397251E-17</v>
      </c>
      <c r="C204" s="6">
        <f t="shared" si="11"/>
        <v>0</v>
      </c>
      <c r="D204" s="6">
        <f t="shared" si="12"/>
        <v>10</v>
      </c>
    </row>
    <row r="205" spans="1:4" x14ac:dyDescent="0.2">
      <c r="A205" s="7">
        <f t="shared" si="14"/>
        <v>0.1437278639017337</v>
      </c>
      <c r="B205" s="6">
        <f t="shared" si="10"/>
        <v>1.0962694449229849E-17</v>
      </c>
      <c r="C205" s="6">
        <f t="shared" si="11"/>
        <v>0</v>
      </c>
      <c r="D205" s="6">
        <f t="shared" si="12"/>
        <v>10</v>
      </c>
    </row>
    <row r="206" spans="1:4" x14ac:dyDescent="0.2">
      <c r="A206" s="7">
        <f t="shared" si="14"/>
        <v>0.14451326206513115</v>
      </c>
      <c r="B206" s="6">
        <f t="shared" si="10"/>
        <v>8.4715697888256624E-18</v>
      </c>
      <c r="C206" s="6">
        <f t="shared" si="11"/>
        <v>0</v>
      </c>
      <c r="D206" s="6">
        <f t="shared" si="12"/>
        <v>10</v>
      </c>
    </row>
    <row r="207" spans="1:4" x14ac:dyDescent="0.2">
      <c r="A207" s="7">
        <f t="shared" si="14"/>
        <v>0.14529866022852861</v>
      </c>
      <c r="B207" s="6">
        <f t="shared" si="10"/>
        <v>6.501965889065732E-18</v>
      </c>
      <c r="C207" s="6">
        <f t="shared" si="11"/>
        <v>0</v>
      </c>
      <c r="D207" s="6">
        <f t="shared" si="12"/>
        <v>10</v>
      </c>
    </row>
    <row r="208" spans="1:4" x14ac:dyDescent="0.2">
      <c r="A208" s="7">
        <f t="shared" si="14"/>
        <v>0.14608405839192606</v>
      </c>
      <c r="B208" s="6">
        <f t="shared" si="10"/>
        <v>4.9542965466615093E-18</v>
      </c>
      <c r="C208" s="6">
        <f t="shared" si="11"/>
        <v>0</v>
      </c>
      <c r="D208" s="6">
        <f t="shared" si="12"/>
        <v>10</v>
      </c>
    </row>
    <row r="209" spans="1:4" x14ac:dyDescent="0.2">
      <c r="A209" s="7">
        <f t="shared" si="14"/>
        <v>0.14686945655532352</v>
      </c>
      <c r="B209" s="6">
        <f t="shared" si="10"/>
        <v>3.7457490182469136E-18</v>
      </c>
      <c r="C209" s="6">
        <f t="shared" si="11"/>
        <v>0</v>
      </c>
      <c r="D209" s="6">
        <f t="shared" si="12"/>
        <v>10</v>
      </c>
    </row>
    <row r="210" spans="1:4" x14ac:dyDescent="0.2">
      <c r="A210" s="7">
        <f t="shared" si="14"/>
        <v>0.14765485471872097</v>
      </c>
      <c r="B210" s="6">
        <f t="shared" si="10"/>
        <v>2.8080336367692573E-18</v>
      </c>
      <c r="C210" s="6">
        <f t="shared" si="11"/>
        <v>0</v>
      </c>
      <c r="D210" s="6">
        <f t="shared" si="12"/>
        <v>10</v>
      </c>
    </row>
    <row r="211" spans="1:4" x14ac:dyDescent="0.2">
      <c r="A211" s="7">
        <f t="shared" si="14"/>
        <v>0.14844025288211843</v>
      </c>
      <c r="B211" s="6">
        <f t="shared" si="10"/>
        <v>2.085268342535467E-18</v>
      </c>
      <c r="C211" s="6">
        <f t="shared" si="11"/>
        <v>0</v>
      </c>
      <c r="D211" s="6">
        <f t="shared" si="12"/>
        <v>10</v>
      </c>
    </row>
    <row r="212" spans="1:4" x14ac:dyDescent="0.2">
      <c r="A212" s="7">
        <f t="shared" si="14"/>
        <v>0.14922565104551588</v>
      </c>
      <c r="B212" s="6">
        <f t="shared" si="10"/>
        <v>1.5320509564875916E-18</v>
      </c>
      <c r="C212" s="6">
        <f t="shared" si="11"/>
        <v>0</v>
      </c>
      <c r="D212" s="6">
        <f t="shared" si="12"/>
        <v>10</v>
      </c>
    </row>
    <row r="213" spans="1:4" x14ac:dyDescent="0.2">
      <c r="A213" s="7">
        <f t="shared" si="14"/>
        <v>0.15001104920891334</v>
      </c>
      <c r="B213" s="6">
        <f t="shared" si="10"/>
        <v>1.1117429846429282E-18</v>
      </c>
      <c r="C213" s="6">
        <f t="shared" si="11"/>
        <v>0</v>
      </c>
      <c r="D213" s="6">
        <f t="shared" si="12"/>
        <v>10</v>
      </c>
    </row>
    <row r="214" spans="1:4" x14ac:dyDescent="0.2">
      <c r="A214" s="7">
        <f t="shared" si="14"/>
        <v>0.15079644737231079</v>
      </c>
      <c r="B214" s="6">
        <f t="shared" ref="B214:B222" si="15">(($B$8/($B$6*$B$13))*EXP(-$B$11*A214)*SIN($B$13*A214))*$B$5</f>
        <v>7.94969451732635E-19</v>
      </c>
      <c r="C214" s="6">
        <f t="shared" ref="C214:C222" si="16">$B$8-B214-D214</f>
        <v>0</v>
      </c>
      <c r="D214" s="6">
        <f t="shared" ref="D214:D222" si="17">$B$8*(1-EXP(-$B$11*A214)*(COS($B$13*A214)+($B$11/$B$13)*SIN($B$13*A214)))</f>
        <v>10</v>
      </c>
    </row>
    <row r="215" spans="1:4" x14ac:dyDescent="0.2">
      <c r="A215" s="7">
        <f t="shared" ref="A215:A222" si="18">A214+$B$17</f>
        <v>0.15158184553570825</v>
      </c>
      <c r="B215" s="6">
        <f t="shared" si="15"/>
        <v>5.5832700002193149E-19</v>
      </c>
      <c r="C215" s="6">
        <f t="shared" si="16"/>
        <v>0</v>
      </c>
      <c r="D215" s="6">
        <f t="shared" si="17"/>
        <v>10</v>
      </c>
    </row>
    <row r="216" spans="1:4" x14ac:dyDescent="0.2">
      <c r="A216" s="7">
        <f t="shared" si="18"/>
        <v>0.1523672436991057</v>
      </c>
      <c r="B216" s="6">
        <f t="shared" si="15"/>
        <v>3.8328521492276901E-19</v>
      </c>
      <c r="C216" s="6">
        <f t="shared" si="16"/>
        <v>0</v>
      </c>
      <c r="D216" s="6">
        <f t="shared" si="17"/>
        <v>10</v>
      </c>
    </row>
    <row r="217" spans="1:4" x14ac:dyDescent="0.2">
      <c r="A217" s="7">
        <f t="shared" si="18"/>
        <v>0.15315264186250316</v>
      </c>
      <c r="B217" s="6">
        <f t="shared" si="15"/>
        <v>2.5526233407280585E-19</v>
      </c>
      <c r="C217" s="6">
        <f t="shared" si="16"/>
        <v>0</v>
      </c>
      <c r="D217" s="6">
        <f t="shared" si="17"/>
        <v>10</v>
      </c>
    </row>
    <row r="218" spans="1:4" x14ac:dyDescent="0.2">
      <c r="A218" s="7">
        <f t="shared" si="18"/>
        <v>0.15393804002590061</v>
      </c>
      <c r="B218" s="6">
        <f t="shared" si="15"/>
        <v>1.6285504354013812E-19</v>
      </c>
      <c r="C218" s="6">
        <f t="shared" si="16"/>
        <v>0</v>
      </c>
      <c r="D218" s="6">
        <f t="shared" si="17"/>
        <v>10</v>
      </c>
    </row>
    <row r="219" spans="1:4" x14ac:dyDescent="0.2">
      <c r="A219" s="7">
        <f t="shared" si="18"/>
        <v>0.15472343818929807</v>
      </c>
      <c r="B219" s="6">
        <f t="shared" si="15"/>
        <v>9.7202151042231319E-20</v>
      </c>
      <c r="C219" s="6">
        <f t="shared" si="16"/>
        <v>0</v>
      </c>
      <c r="D219" s="6">
        <f t="shared" si="17"/>
        <v>10</v>
      </c>
    </row>
    <row r="220" spans="1:4" x14ac:dyDescent="0.2">
      <c r="A220" s="7">
        <f t="shared" si="18"/>
        <v>0.15550883635269552</v>
      </c>
      <c r="B220" s="6">
        <f t="shared" si="15"/>
        <v>5.1462968915656757E-20</v>
      </c>
      <c r="C220" s="6">
        <f t="shared" si="16"/>
        <v>0</v>
      </c>
      <c r="D220" s="6">
        <f t="shared" si="17"/>
        <v>10</v>
      </c>
    </row>
    <row r="221" spans="1:4" x14ac:dyDescent="0.2">
      <c r="A221" s="7">
        <f t="shared" si="18"/>
        <v>0.15629423451609298</v>
      </c>
      <c r="B221" s="6">
        <f t="shared" si="15"/>
        <v>2.0392828536942345E-20</v>
      </c>
      <c r="C221" s="6">
        <f t="shared" si="16"/>
        <v>0</v>
      </c>
      <c r="D221" s="6">
        <f t="shared" si="17"/>
        <v>10</v>
      </c>
    </row>
    <row r="222" spans="1:4" x14ac:dyDescent="0.2">
      <c r="A222" s="7">
        <f t="shared" si="18"/>
        <v>0.15707963267949043</v>
      </c>
      <c r="B222" s="6">
        <f t="shared" si="15"/>
        <v>-1.3371275759578274E-32</v>
      </c>
      <c r="C222" s="6">
        <f t="shared" si="16"/>
        <v>0</v>
      </c>
      <c r="D222" s="6">
        <f t="shared" si="17"/>
        <v>10</v>
      </c>
    </row>
  </sheetData>
  <mergeCells count="1">
    <mergeCell ref="A19:D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RLC Transient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Allen Chiu</cp:lastModifiedBy>
  <cp:revision>1</cp:revision>
  <dcterms:created xsi:type="dcterms:W3CDTF">2026-09-17T00:04:25Z</dcterms:created>
  <dcterms:modified xsi:type="dcterms:W3CDTF">2026-09-21T00:05:13Z</dcterms:modified>
  <dc:language>en-US</dc:language>
</cp:coreProperties>
</file>