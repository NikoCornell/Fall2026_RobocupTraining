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ago\Desktop\GT\Robocup\Fall2026_RobocupTraining\"/>
    </mc:Choice>
  </mc:AlternateContent>
  <xr:revisionPtr revIDLastSave="0" documentId="13_ncr:1_{B9FF8189-63EB-48A6-B014-A18E7113468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3" i="1" l="1"/>
  <c r="B14" i="1" s="1"/>
  <c r="B15" i="1" s="1"/>
  <c r="B17" i="1" s="1"/>
  <c r="A23" i="1" s="1"/>
  <c r="A24" i="1" s="1"/>
  <c r="B24" i="1" s="1"/>
  <c r="D22" i="1" l="1"/>
  <c r="B22" i="1"/>
  <c r="B23" i="1"/>
  <c r="D23" i="1"/>
  <c r="D24" i="1"/>
  <c r="C24" i="1" s="1"/>
  <c r="A25" i="1"/>
  <c r="C22" i="1" l="1"/>
  <c r="C23" i="1"/>
  <c r="A26" i="1"/>
  <c r="B25" i="1"/>
  <c r="D25" i="1"/>
  <c r="C25" i="1" l="1"/>
  <c r="A27" i="1"/>
  <c r="D26" i="1"/>
  <c r="B26" i="1"/>
  <c r="C26" i="1" s="1"/>
  <c r="A28" i="1" l="1"/>
  <c r="B27" i="1"/>
  <c r="D27" i="1"/>
  <c r="C27" i="1" l="1"/>
  <c r="A29" i="1"/>
  <c r="B28" i="1"/>
  <c r="D28" i="1"/>
  <c r="C28" i="1" l="1"/>
  <c r="A30" i="1"/>
  <c r="D29" i="1"/>
  <c r="B29" i="1"/>
  <c r="C29" i="1" s="1"/>
  <c r="A31" i="1" l="1"/>
  <c r="D30" i="1"/>
  <c r="B30" i="1"/>
  <c r="C30" i="1" s="1"/>
  <c r="A32" i="1" l="1"/>
  <c r="B31" i="1"/>
  <c r="D31" i="1"/>
  <c r="A33" i="1" l="1"/>
  <c r="D32" i="1"/>
  <c r="B32" i="1"/>
  <c r="C32" i="1" s="1"/>
  <c r="C31" i="1"/>
  <c r="A34" i="1" l="1"/>
  <c r="D33" i="1"/>
  <c r="B33" i="1"/>
  <c r="C33" i="1" s="1"/>
  <c r="A35" i="1" l="1"/>
  <c r="B34" i="1"/>
  <c r="D34" i="1"/>
  <c r="A36" i="1" l="1"/>
  <c r="D35" i="1"/>
  <c r="B35" i="1"/>
  <c r="C34" i="1"/>
  <c r="C35" i="1" l="1"/>
  <c r="A37" i="1"/>
  <c r="D36" i="1"/>
  <c r="B36" i="1"/>
  <c r="C36" i="1" s="1"/>
  <c r="A38" i="1" l="1"/>
  <c r="D37" i="1"/>
  <c r="B37" i="1"/>
  <c r="C37" i="1" s="1"/>
  <c r="A39" i="1" l="1"/>
  <c r="B38" i="1"/>
  <c r="D38" i="1"/>
  <c r="A40" i="1" l="1"/>
  <c r="D39" i="1"/>
  <c r="B39" i="1"/>
  <c r="C39" i="1" s="1"/>
  <c r="C38" i="1"/>
  <c r="A41" i="1" l="1"/>
  <c r="B40" i="1"/>
  <c r="D40" i="1"/>
  <c r="A42" i="1" l="1"/>
  <c r="B41" i="1"/>
  <c r="D41" i="1"/>
  <c r="C40" i="1"/>
  <c r="C41" i="1" l="1"/>
  <c r="A43" i="1"/>
  <c r="D42" i="1"/>
  <c r="B42" i="1"/>
  <c r="A44" i="1" l="1"/>
  <c r="B43" i="1"/>
  <c r="D43" i="1"/>
  <c r="C42" i="1"/>
  <c r="C43" i="1" l="1"/>
  <c r="A45" i="1"/>
  <c r="D44" i="1"/>
  <c r="B44" i="1"/>
  <c r="A46" i="1" l="1"/>
  <c r="D45" i="1"/>
  <c r="B45" i="1"/>
  <c r="C44" i="1"/>
  <c r="A47" i="1" l="1"/>
  <c r="B46" i="1"/>
  <c r="D46" i="1"/>
  <c r="C45" i="1"/>
  <c r="C46" i="1" l="1"/>
  <c r="A48" i="1"/>
  <c r="B47" i="1"/>
  <c r="D47" i="1"/>
  <c r="C47" i="1" l="1"/>
  <c r="A49" i="1"/>
  <c r="D48" i="1"/>
  <c r="B48" i="1"/>
  <c r="A50" i="1" l="1"/>
  <c r="D49" i="1"/>
  <c r="B49" i="1"/>
  <c r="C48" i="1"/>
  <c r="C49" i="1" l="1"/>
  <c r="A51" i="1"/>
  <c r="D50" i="1"/>
  <c r="B50" i="1"/>
  <c r="C50" i="1" s="1"/>
  <c r="A52" i="1" l="1"/>
  <c r="D51" i="1"/>
  <c r="B51" i="1"/>
  <c r="C51" i="1" s="1"/>
  <c r="A53" i="1" l="1"/>
  <c r="D52" i="1"/>
  <c r="B52" i="1"/>
  <c r="C52" i="1" s="1"/>
  <c r="A54" i="1" l="1"/>
  <c r="B53" i="1"/>
  <c r="D53" i="1"/>
  <c r="C53" i="1" l="1"/>
  <c r="A55" i="1"/>
  <c r="B54" i="1"/>
  <c r="D54" i="1"/>
  <c r="C54" i="1" l="1"/>
  <c r="A56" i="1"/>
  <c r="D55" i="1"/>
  <c r="B55" i="1"/>
  <c r="C55" i="1" l="1"/>
  <c r="A57" i="1"/>
  <c r="B56" i="1"/>
  <c r="D56" i="1"/>
  <c r="C56" i="1" l="1"/>
  <c r="A58" i="1"/>
  <c r="B57" i="1"/>
  <c r="D57" i="1"/>
  <c r="C57" i="1" l="1"/>
  <c r="A59" i="1"/>
  <c r="D58" i="1"/>
  <c r="B58" i="1"/>
  <c r="C58" i="1" s="1"/>
  <c r="A60" i="1" l="1"/>
  <c r="D59" i="1"/>
  <c r="B59" i="1"/>
  <c r="C59" i="1" s="1"/>
  <c r="A61" i="1" l="1"/>
  <c r="B60" i="1"/>
  <c r="D60" i="1"/>
  <c r="C60" i="1" l="1"/>
  <c r="A62" i="1"/>
  <c r="D61" i="1"/>
  <c r="B61" i="1"/>
  <c r="C61" i="1" s="1"/>
  <c r="A63" i="1" l="1"/>
  <c r="D62" i="1"/>
  <c r="B62" i="1"/>
  <c r="C62" i="1" l="1"/>
  <c r="A64" i="1"/>
  <c r="B63" i="1"/>
  <c r="D63" i="1"/>
  <c r="C63" i="1" l="1"/>
  <c r="A65" i="1"/>
  <c r="D64" i="1"/>
  <c r="B64" i="1"/>
  <c r="C64" i="1" s="1"/>
  <c r="A66" i="1" l="1"/>
  <c r="B65" i="1"/>
  <c r="D65" i="1"/>
  <c r="C65" i="1" l="1"/>
  <c r="A67" i="1"/>
  <c r="B66" i="1"/>
  <c r="D66" i="1"/>
  <c r="C66" i="1" l="1"/>
  <c r="A68" i="1"/>
  <c r="B67" i="1"/>
  <c r="D67" i="1"/>
  <c r="C67" i="1" l="1"/>
  <c r="A69" i="1"/>
  <c r="D68" i="1"/>
  <c r="B68" i="1"/>
  <c r="C68" i="1" s="1"/>
  <c r="A70" i="1" l="1"/>
  <c r="D69" i="1"/>
  <c r="B69" i="1"/>
  <c r="C69" i="1" s="1"/>
  <c r="A71" i="1" l="1"/>
  <c r="B70" i="1"/>
  <c r="D70" i="1"/>
  <c r="C70" i="1" l="1"/>
  <c r="A72" i="1"/>
  <c r="D71" i="1"/>
  <c r="B71" i="1"/>
  <c r="A73" i="1" l="1"/>
  <c r="D72" i="1"/>
  <c r="B72" i="1"/>
  <c r="C71" i="1"/>
  <c r="A74" i="1" l="1"/>
  <c r="B73" i="1"/>
  <c r="D73" i="1"/>
  <c r="C72" i="1"/>
  <c r="C73" i="1" l="1"/>
  <c r="A75" i="1"/>
  <c r="D74" i="1"/>
  <c r="B74" i="1"/>
  <c r="C74" i="1" l="1"/>
  <c r="A76" i="1"/>
  <c r="D75" i="1"/>
  <c r="B75" i="1"/>
  <c r="C75" i="1" s="1"/>
  <c r="A77" i="1" l="1"/>
  <c r="D76" i="1"/>
  <c r="B76" i="1"/>
  <c r="C76" i="1" s="1"/>
  <c r="A78" i="1" l="1"/>
  <c r="D77" i="1"/>
  <c r="B77" i="1"/>
  <c r="C77" i="1" s="1"/>
  <c r="A79" i="1" l="1"/>
  <c r="D78" i="1"/>
  <c r="B78" i="1"/>
  <c r="C78" i="1" s="1"/>
  <c r="A80" i="1" l="1"/>
  <c r="D79" i="1"/>
  <c r="B79" i="1"/>
  <c r="C79" i="1" s="1"/>
  <c r="A81" i="1" l="1"/>
  <c r="B80" i="1"/>
  <c r="D80" i="1"/>
  <c r="C80" i="1" l="1"/>
  <c r="A82" i="1"/>
  <c r="B81" i="1"/>
  <c r="D81" i="1"/>
  <c r="C81" i="1" l="1"/>
  <c r="A83" i="1"/>
  <c r="D82" i="1"/>
  <c r="B82" i="1"/>
  <c r="C82" i="1" s="1"/>
  <c r="A84" i="1" l="1"/>
  <c r="B83" i="1"/>
  <c r="D83" i="1"/>
  <c r="A85" i="1" l="1"/>
  <c r="D84" i="1"/>
  <c r="B84" i="1"/>
  <c r="C83" i="1"/>
  <c r="C84" i="1" l="1"/>
  <c r="A86" i="1"/>
  <c r="D85" i="1"/>
  <c r="B85" i="1"/>
  <c r="C85" i="1" l="1"/>
  <c r="A87" i="1"/>
  <c r="D86" i="1"/>
  <c r="B86" i="1"/>
  <c r="C86" i="1" s="1"/>
  <c r="A88" i="1" l="1"/>
  <c r="B87" i="1"/>
  <c r="D87" i="1"/>
  <c r="C87" i="1" l="1"/>
  <c r="A89" i="1"/>
  <c r="B88" i="1"/>
  <c r="D88" i="1"/>
  <c r="A90" i="1" l="1"/>
  <c r="D89" i="1"/>
  <c r="B89" i="1"/>
  <c r="C88" i="1"/>
  <c r="C89" i="1" l="1"/>
  <c r="A91" i="1"/>
  <c r="B90" i="1"/>
  <c r="D90" i="1"/>
  <c r="C90" i="1" l="1"/>
  <c r="A92" i="1"/>
  <c r="D91" i="1"/>
  <c r="B91" i="1"/>
  <c r="C91" i="1" l="1"/>
  <c r="A93" i="1"/>
  <c r="D92" i="1"/>
  <c r="B92" i="1"/>
  <c r="C92" i="1" l="1"/>
  <c r="A94" i="1"/>
  <c r="D93" i="1"/>
  <c r="B93" i="1"/>
  <c r="C93" i="1" l="1"/>
  <c r="A95" i="1"/>
  <c r="D94" i="1"/>
  <c r="B94" i="1"/>
  <c r="C94" i="1" l="1"/>
  <c r="A96" i="1"/>
  <c r="B95" i="1"/>
  <c r="D95" i="1"/>
  <c r="C95" i="1" l="1"/>
  <c r="A97" i="1"/>
  <c r="B96" i="1"/>
  <c r="D96" i="1"/>
  <c r="C96" i="1" l="1"/>
  <c r="A98" i="1"/>
  <c r="D97" i="1"/>
  <c r="B97" i="1"/>
  <c r="C97" i="1" l="1"/>
  <c r="A99" i="1"/>
  <c r="D98" i="1"/>
  <c r="B98" i="1"/>
  <c r="C98" i="1" l="1"/>
  <c r="A100" i="1"/>
  <c r="B99" i="1"/>
  <c r="D99" i="1"/>
  <c r="C99" i="1" l="1"/>
  <c r="A101" i="1"/>
  <c r="D100" i="1"/>
  <c r="B100" i="1"/>
  <c r="C100" i="1" l="1"/>
  <c r="A102" i="1"/>
  <c r="D101" i="1"/>
  <c r="B101" i="1"/>
  <c r="C101" i="1" l="1"/>
  <c r="A103" i="1"/>
  <c r="D102" i="1"/>
  <c r="B102" i="1"/>
  <c r="C102" i="1" s="1"/>
  <c r="A104" i="1" l="1"/>
  <c r="B103" i="1"/>
  <c r="D103" i="1"/>
  <c r="C103" i="1" l="1"/>
  <c r="A105" i="1"/>
  <c r="B104" i="1"/>
  <c r="D104" i="1"/>
  <c r="C104" i="1" l="1"/>
  <c r="A106" i="1"/>
  <c r="D105" i="1"/>
  <c r="B105" i="1"/>
  <c r="C105" i="1" s="1"/>
  <c r="A107" i="1" l="1"/>
  <c r="D106" i="1"/>
  <c r="B106" i="1"/>
  <c r="C106" i="1" l="1"/>
  <c r="A108" i="1"/>
  <c r="D107" i="1"/>
  <c r="B107" i="1"/>
  <c r="C107" i="1" l="1"/>
  <c r="A109" i="1"/>
  <c r="D108" i="1"/>
  <c r="B108" i="1"/>
  <c r="C108" i="1" s="1"/>
  <c r="A110" i="1" l="1"/>
  <c r="D109" i="1"/>
  <c r="B109" i="1"/>
  <c r="C109" i="1" l="1"/>
  <c r="A111" i="1"/>
  <c r="D110" i="1"/>
  <c r="B110" i="1"/>
  <c r="C110" i="1" l="1"/>
  <c r="A112" i="1"/>
  <c r="D111" i="1"/>
  <c r="B111" i="1"/>
  <c r="C111" i="1" s="1"/>
  <c r="A113" i="1" l="1"/>
  <c r="B112" i="1"/>
  <c r="D112" i="1"/>
  <c r="C112" i="1" l="1"/>
  <c r="A114" i="1"/>
  <c r="D113" i="1"/>
  <c r="B113" i="1"/>
  <c r="A115" i="1" l="1"/>
  <c r="B114" i="1"/>
  <c r="D114" i="1"/>
  <c r="C113" i="1"/>
  <c r="C114" i="1" l="1"/>
  <c r="A116" i="1"/>
  <c r="D115" i="1"/>
  <c r="B115" i="1"/>
  <c r="A117" i="1" l="1"/>
  <c r="D116" i="1"/>
  <c r="B116" i="1"/>
  <c r="C115" i="1"/>
  <c r="C116" i="1" l="1"/>
  <c r="A118" i="1"/>
  <c r="D117" i="1"/>
  <c r="B117" i="1"/>
  <c r="C117" i="1" s="1"/>
  <c r="A119" i="1" l="1"/>
  <c r="B118" i="1"/>
  <c r="D118" i="1"/>
  <c r="C118" i="1" l="1"/>
  <c r="A120" i="1"/>
  <c r="D119" i="1"/>
  <c r="B119" i="1"/>
  <c r="C119" i="1" l="1"/>
  <c r="A121" i="1"/>
  <c r="D120" i="1"/>
  <c r="B120" i="1"/>
  <c r="C120" i="1" l="1"/>
  <c r="A122" i="1"/>
  <c r="D121" i="1"/>
  <c r="B121" i="1"/>
  <c r="C121" i="1" s="1"/>
  <c r="A123" i="1" l="1"/>
  <c r="D122" i="1"/>
  <c r="B122" i="1"/>
  <c r="C122" i="1" s="1"/>
  <c r="A124" i="1" l="1"/>
  <c r="B123" i="1"/>
  <c r="D123" i="1"/>
  <c r="A125" i="1" l="1"/>
  <c r="D124" i="1"/>
  <c r="B124" i="1"/>
  <c r="C123" i="1"/>
  <c r="A126" i="1" l="1"/>
  <c r="B125" i="1"/>
  <c r="D125" i="1"/>
  <c r="C124" i="1"/>
  <c r="A127" i="1" l="1"/>
  <c r="D126" i="1"/>
  <c r="B126" i="1"/>
  <c r="C126" i="1" s="1"/>
  <c r="C125" i="1"/>
  <c r="A128" i="1" l="1"/>
  <c r="D127" i="1"/>
  <c r="B127" i="1"/>
  <c r="C127" i="1" l="1"/>
  <c r="A129" i="1"/>
  <c r="B128" i="1"/>
  <c r="D128" i="1"/>
  <c r="C128" i="1" l="1"/>
  <c r="A130" i="1"/>
  <c r="D129" i="1"/>
  <c r="B129" i="1"/>
  <c r="C129" i="1" l="1"/>
  <c r="A131" i="1"/>
  <c r="B130" i="1"/>
  <c r="D130" i="1"/>
  <c r="C130" i="1" l="1"/>
  <c r="A132" i="1"/>
  <c r="D131" i="1"/>
  <c r="B131" i="1"/>
  <c r="C131" i="1" s="1"/>
  <c r="A133" i="1" l="1"/>
  <c r="B132" i="1"/>
  <c r="D132" i="1"/>
  <c r="C132" i="1" l="1"/>
  <c r="A134" i="1"/>
  <c r="D133" i="1"/>
  <c r="B133" i="1"/>
  <c r="C133" i="1" l="1"/>
  <c r="A135" i="1"/>
  <c r="D134" i="1"/>
  <c r="B134" i="1"/>
  <c r="C134" i="1" l="1"/>
  <c r="A136" i="1"/>
  <c r="D135" i="1"/>
  <c r="B135" i="1"/>
  <c r="C135" i="1" s="1"/>
  <c r="A137" i="1" l="1"/>
  <c r="B136" i="1"/>
  <c r="D136" i="1"/>
  <c r="A138" i="1" l="1"/>
  <c r="D137" i="1"/>
  <c r="B137" i="1"/>
  <c r="C136" i="1"/>
  <c r="C137" i="1" l="1"/>
  <c r="A139" i="1"/>
  <c r="B138" i="1"/>
  <c r="D138" i="1"/>
  <c r="C138" i="1" l="1"/>
  <c r="A140" i="1"/>
  <c r="D139" i="1"/>
  <c r="B139" i="1"/>
  <c r="C139" i="1" s="1"/>
  <c r="A141" i="1" l="1"/>
  <c r="B140" i="1"/>
  <c r="D140" i="1"/>
  <c r="C140" i="1" l="1"/>
  <c r="A142" i="1"/>
  <c r="D141" i="1"/>
  <c r="B141" i="1"/>
  <c r="C141" i="1" s="1"/>
  <c r="A143" i="1" l="1"/>
  <c r="D142" i="1"/>
  <c r="B142" i="1"/>
  <c r="C142" i="1" l="1"/>
  <c r="A144" i="1"/>
  <c r="B143" i="1"/>
  <c r="D143" i="1"/>
  <c r="C143" i="1" l="1"/>
  <c r="A145" i="1"/>
  <c r="B144" i="1"/>
  <c r="D144" i="1"/>
  <c r="C144" i="1" l="1"/>
  <c r="A146" i="1"/>
  <c r="D145" i="1"/>
  <c r="B145" i="1"/>
  <c r="C145" i="1" s="1"/>
  <c r="A147" i="1" l="1"/>
  <c r="B146" i="1"/>
  <c r="D146" i="1"/>
  <c r="C146" i="1" l="1"/>
  <c r="A148" i="1"/>
  <c r="B147" i="1"/>
  <c r="D147" i="1"/>
  <c r="C147" i="1" l="1"/>
  <c r="A149" i="1"/>
  <c r="B148" i="1"/>
  <c r="D148" i="1"/>
  <c r="C148" i="1" l="1"/>
  <c r="A150" i="1"/>
  <c r="D149" i="1"/>
  <c r="B149" i="1"/>
  <c r="C149" i="1" s="1"/>
  <c r="A151" i="1" l="1"/>
  <c r="D150" i="1"/>
  <c r="B150" i="1"/>
  <c r="C150" i="1" l="1"/>
  <c r="A152" i="1"/>
  <c r="B151" i="1"/>
  <c r="D151" i="1"/>
  <c r="C151" i="1" l="1"/>
  <c r="A153" i="1"/>
  <c r="D152" i="1"/>
  <c r="B152" i="1"/>
  <c r="C152" i="1" s="1"/>
  <c r="A154" i="1" l="1"/>
  <c r="D153" i="1"/>
  <c r="B153" i="1"/>
  <c r="C153" i="1" l="1"/>
  <c r="A155" i="1"/>
  <c r="D154" i="1"/>
  <c r="B154" i="1"/>
  <c r="C154" i="1" s="1"/>
  <c r="A156" i="1" l="1"/>
  <c r="D155" i="1"/>
  <c r="B155" i="1"/>
  <c r="C155" i="1" l="1"/>
  <c r="A157" i="1"/>
  <c r="B156" i="1"/>
  <c r="D156" i="1"/>
  <c r="C156" i="1" l="1"/>
  <c r="A158" i="1"/>
  <c r="B157" i="1"/>
  <c r="D157" i="1"/>
  <c r="C157" i="1" l="1"/>
  <c r="A159" i="1"/>
  <c r="D158" i="1"/>
  <c r="B158" i="1"/>
  <c r="C158" i="1" s="1"/>
  <c r="A160" i="1" l="1"/>
  <c r="B159" i="1"/>
  <c r="D159" i="1"/>
  <c r="C159" i="1" l="1"/>
  <c r="A161" i="1"/>
  <c r="D160" i="1"/>
  <c r="B160" i="1"/>
  <c r="C160" i="1" l="1"/>
  <c r="A162" i="1"/>
  <c r="B161" i="1"/>
  <c r="D161" i="1"/>
  <c r="C161" i="1" l="1"/>
  <c r="A163" i="1"/>
  <c r="D162" i="1"/>
  <c r="B162" i="1"/>
  <c r="C162" i="1" l="1"/>
  <c r="A164" i="1"/>
  <c r="D163" i="1"/>
  <c r="B163" i="1"/>
  <c r="C163" i="1" s="1"/>
  <c r="A165" i="1" l="1"/>
  <c r="B164" i="1"/>
  <c r="D164" i="1"/>
  <c r="C164" i="1" l="1"/>
  <c r="A166" i="1"/>
  <c r="D165" i="1"/>
  <c r="B165" i="1"/>
  <c r="C165" i="1" l="1"/>
  <c r="A167" i="1"/>
  <c r="D166" i="1"/>
  <c r="B166" i="1"/>
  <c r="C166" i="1" l="1"/>
  <c r="A168" i="1"/>
  <c r="B167" i="1"/>
  <c r="D167" i="1"/>
  <c r="C167" i="1" l="1"/>
  <c r="A169" i="1"/>
  <c r="D168" i="1"/>
  <c r="B168" i="1"/>
  <c r="C168" i="1" l="1"/>
  <c r="A170" i="1"/>
  <c r="B169" i="1"/>
  <c r="D169" i="1"/>
  <c r="C169" i="1" l="1"/>
  <c r="A171" i="1"/>
  <c r="D170" i="1"/>
  <c r="B170" i="1"/>
  <c r="C170" i="1" l="1"/>
  <c r="A172" i="1"/>
  <c r="B171" i="1"/>
  <c r="D171" i="1"/>
  <c r="C171" i="1" l="1"/>
  <c r="A173" i="1"/>
  <c r="D172" i="1"/>
  <c r="B172" i="1"/>
  <c r="C172" i="1" l="1"/>
  <c r="A174" i="1"/>
  <c r="D173" i="1"/>
  <c r="B173" i="1"/>
  <c r="C173" i="1" l="1"/>
  <c r="A175" i="1"/>
  <c r="B174" i="1"/>
  <c r="D174" i="1"/>
  <c r="C174" i="1" l="1"/>
  <c r="A176" i="1"/>
  <c r="B175" i="1"/>
  <c r="D175" i="1"/>
  <c r="C175" i="1" l="1"/>
  <c r="A177" i="1"/>
  <c r="B176" i="1"/>
  <c r="D176" i="1"/>
  <c r="C176" i="1" l="1"/>
  <c r="A178" i="1"/>
  <c r="B177" i="1"/>
  <c r="D177" i="1"/>
  <c r="C177" i="1" l="1"/>
  <c r="A179" i="1"/>
  <c r="D178" i="1"/>
  <c r="B178" i="1"/>
  <c r="C178" i="1" s="1"/>
  <c r="A180" i="1" l="1"/>
  <c r="D179" i="1"/>
  <c r="B179" i="1"/>
  <c r="C179" i="1" l="1"/>
  <c r="A181" i="1"/>
  <c r="D180" i="1"/>
  <c r="B180" i="1"/>
  <c r="C180" i="1" s="1"/>
  <c r="A182" i="1" l="1"/>
  <c r="D181" i="1"/>
  <c r="B181" i="1"/>
  <c r="C181" i="1" l="1"/>
  <c r="A183" i="1"/>
  <c r="B182" i="1"/>
  <c r="D182" i="1"/>
  <c r="C182" i="1" l="1"/>
  <c r="A184" i="1"/>
  <c r="D183" i="1"/>
  <c r="B183" i="1"/>
  <c r="C183" i="1" l="1"/>
  <c r="A185" i="1"/>
  <c r="D184" i="1"/>
  <c r="B184" i="1"/>
  <c r="C184" i="1" s="1"/>
  <c r="A186" i="1" l="1"/>
  <c r="B185" i="1"/>
  <c r="D185" i="1"/>
  <c r="C185" i="1" l="1"/>
  <c r="A187" i="1"/>
  <c r="D186" i="1"/>
  <c r="B186" i="1"/>
  <c r="C186" i="1" l="1"/>
  <c r="A188" i="1"/>
  <c r="D187" i="1"/>
  <c r="B187" i="1"/>
  <c r="C187" i="1" l="1"/>
  <c r="A189" i="1"/>
  <c r="B188" i="1"/>
  <c r="D188" i="1"/>
  <c r="C188" i="1" l="1"/>
  <c r="A190" i="1"/>
  <c r="B189" i="1"/>
  <c r="D189" i="1"/>
  <c r="C189" i="1" l="1"/>
  <c r="A191" i="1"/>
  <c r="B190" i="1"/>
  <c r="D190" i="1"/>
  <c r="C190" i="1" l="1"/>
  <c r="A192" i="1"/>
  <c r="D191" i="1"/>
  <c r="B191" i="1"/>
  <c r="C191" i="1" s="1"/>
  <c r="A193" i="1" l="1"/>
  <c r="D192" i="1"/>
  <c r="B192" i="1"/>
  <c r="C192" i="1" l="1"/>
  <c r="A194" i="1"/>
  <c r="B193" i="1"/>
  <c r="D193" i="1"/>
  <c r="C193" i="1" l="1"/>
  <c r="A195" i="1"/>
  <c r="D194" i="1"/>
  <c r="B194" i="1"/>
  <c r="C194" i="1" s="1"/>
  <c r="A196" i="1" l="1"/>
  <c r="D195" i="1"/>
  <c r="B195" i="1"/>
  <c r="C195" i="1" l="1"/>
  <c r="A197" i="1"/>
  <c r="D196" i="1"/>
  <c r="B196" i="1"/>
  <c r="C196" i="1" l="1"/>
  <c r="A198" i="1"/>
  <c r="D197" i="1"/>
  <c r="B197" i="1"/>
  <c r="C197" i="1" l="1"/>
  <c r="A199" i="1"/>
  <c r="B198" i="1"/>
  <c r="D198" i="1"/>
  <c r="C198" i="1" l="1"/>
  <c r="A200" i="1"/>
  <c r="D199" i="1"/>
  <c r="B199" i="1"/>
  <c r="C199" i="1" l="1"/>
  <c r="A201" i="1"/>
  <c r="D200" i="1"/>
  <c r="B200" i="1"/>
  <c r="C200" i="1" s="1"/>
  <c r="A202" i="1" l="1"/>
  <c r="D201" i="1"/>
  <c r="B201" i="1"/>
  <c r="C201" i="1" l="1"/>
  <c r="A203" i="1"/>
  <c r="D202" i="1"/>
  <c r="B202" i="1"/>
  <c r="C202" i="1" l="1"/>
  <c r="A204" i="1"/>
  <c r="D203" i="1"/>
  <c r="B203" i="1"/>
  <c r="C203" i="1" l="1"/>
  <c r="A205" i="1"/>
  <c r="B204" i="1"/>
  <c r="D204" i="1"/>
  <c r="C204" i="1" l="1"/>
  <c r="A206" i="1"/>
  <c r="D205" i="1"/>
  <c r="B205" i="1"/>
  <c r="C205" i="1" s="1"/>
  <c r="A207" i="1" l="1"/>
  <c r="D206" i="1"/>
  <c r="B206" i="1"/>
  <c r="C206" i="1" l="1"/>
  <c r="A208" i="1"/>
  <c r="D207" i="1"/>
  <c r="B207" i="1"/>
  <c r="C207" i="1" s="1"/>
  <c r="A209" i="1" l="1"/>
  <c r="B208" i="1"/>
  <c r="D208" i="1"/>
  <c r="C208" i="1" l="1"/>
  <c r="A210" i="1"/>
  <c r="D209" i="1"/>
  <c r="B209" i="1"/>
  <c r="C209" i="1" l="1"/>
  <c r="A211" i="1"/>
  <c r="D210" i="1"/>
  <c r="B210" i="1"/>
  <c r="C210" i="1" s="1"/>
  <c r="A212" i="1" l="1"/>
  <c r="D211" i="1"/>
  <c r="B211" i="1"/>
  <c r="C211" i="1" l="1"/>
  <c r="A213" i="1"/>
  <c r="D212" i="1"/>
  <c r="B212" i="1"/>
  <c r="C212" i="1" l="1"/>
  <c r="A214" i="1"/>
  <c r="D213" i="1"/>
  <c r="B213" i="1"/>
  <c r="C213" i="1" l="1"/>
  <c r="A215" i="1"/>
  <c r="D214" i="1"/>
  <c r="B214" i="1"/>
  <c r="C214" i="1" l="1"/>
  <c r="A216" i="1"/>
  <c r="B215" i="1"/>
  <c r="D215" i="1"/>
  <c r="C215" i="1" l="1"/>
  <c r="A217" i="1"/>
  <c r="D216" i="1"/>
  <c r="B216" i="1"/>
  <c r="C216" i="1" s="1"/>
  <c r="A218" i="1" l="1"/>
  <c r="B217" i="1"/>
  <c r="D217" i="1"/>
  <c r="C217" i="1" l="1"/>
  <c r="A219" i="1"/>
  <c r="D218" i="1"/>
  <c r="B218" i="1"/>
  <c r="C218" i="1" s="1"/>
  <c r="A220" i="1" l="1"/>
  <c r="B219" i="1"/>
  <c r="D219" i="1"/>
  <c r="C219" i="1" l="1"/>
  <c r="A221" i="1"/>
  <c r="B220" i="1"/>
  <c r="D220" i="1"/>
  <c r="C220" i="1" l="1"/>
  <c r="A222" i="1"/>
  <c r="B221" i="1"/>
  <c r="D221" i="1"/>
  <c r="C221" i="1" l="1"/>
  <c r="B222" i="1"/>
  <c r="D222" i="1"/>
  <c r="C222" i="1" l="1"/>
</calcChain>
</file>

<file path=xl/sharedStrings.xml><?xml version="1.0" encoding="utf-8"?>
<sst xmlns="http://schemas.openxmlformats.org/spreadsheetml/2006/main" count="20" uniqueCount="20">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</sst>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Voltage Across R, L, and C vs.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2.491445035609858E-5</c:v>
                </c:pt>
                <c:pt idx="2">
                  <c:v>4.982890071219716E-5</c:v>
                </c:pt>
                <c:pt idx="3">
                  <c:v>7.4743351068295744E-5</c:v>
                </c:pt>
                <c:pt idx="4">
                  <c:v>9.9657801424394321E-5</c:v>
                </c:pt>
                <c:pt idx="5">
                  <c:v>1.245722517804929E-4</c:v>
                </c:pt>
                <c:pt idx="6">
                  <c:v>1.4948670213659149E-4</c:v>
                </c:pt>
                <c:pt idx="7">
                  <c:v>1.7440115249269008E-4</c:v>
                </c:pt>
                <c:pt idx="8">
                  <c:v>1.9931560284878867E-4</c:v>
                </c:pt>
                <c:pt idx="9">
                  <c:v>2.2423005320488726E-4</c:v>
                </c:pt>
                <c:pt idx="10">
                  <c:v>2.4914450356098585E-4</c:v>
                </c:pt>
                <c:pt idx="11">
                  <c:v>2.7405895391708441E-4</c:v>
                </c:pt>
                <c:pt idx="12">
                  <c:v>2.9897340427318298E-4</c:v>
                </c:pt>
                <c:pt idx="13">
                  <c:v>3.2388785462928154E-4</c:v>
                </c:pt>
                <c:pt idx="14">
                  <c:v>3.488023049853801E-4</c:v>
                </c:pt>
                <c:pt idx="15">
                  <c:v>3.7371675534147867E-4</c:v>
                </c:pt>
                <c:pt idx="16">
                  <c:v>3.9863120569757723E-4</c:v>
                </c:pt>
                <c:pt idx="17">
                  <c:v>4.2354565605367579E-4</c:v>
                </c:pt>
                <c:pt idx="18">
                  <c:v>4.4846010640977436E-4</c:v>
                </c:pt>
                <c:pt idx="19">
                  <c:v>4.7337455676587292E-4</c:v>
                </c:pt>
                <c:pt idx="20">
                  <c:v>4.9828900712197148E-4</c:v>
                </c:pt>
                <c:pt idx="21">
                  <c:v>5.2320345747807005E-4</c:v>
                </c:pt>
                <c:pt idx="22">
                  <c:v>5.4811790783416861E-4</c:v>
                </c:pt>
                <c:pt idx="23">
                  <c:v>5.7303235819026717E-4</c:v>
                </c:pt>
                <c:pt idx="24">
                  <c:v>5.9794680854636574E-4</c:v>
                </c:pt>
                <c:pt idx="25">
                  <c:v>6.228612589024643E-4</c:v>
                </c:pt>
                <c:pt idx="26">
                  <c:v>6.4777570925856286E-4</c:v>
                </c:pt>
                <c:pt idx="27">
                  <c:v>6.7269015961466143E-4</c:v>
                </c:pt>
                <c:pt idx="28">
                  <c:v>6.9760460997075999E-4</c:v>
                </c:pt>
                <c:pt idx="29">
                  <c:v>7.2251906032685855E-4</c:v>
                </c:pt>
                <c:pt idx="30">
                  <c:v>7.4743351068295712E-4</c:v>
                </c:pt>
                <c:pt idx="31">
                  <c:v>7.7234796103905568E-4</c:v>
                </c:pt>
                <c:pt idx="32">
                  <c:v>7.9726241139515424E-4</c:v>
                </c:pt>
                <c:pt idx="33">
                  <c:v>8.221768617512528E-4</c:v>
                </c:pt>
                <c:pt idx="34">
                  <c:v>8.4709131210735137E-4</c:v>
                </c:pt>
                <c:pt idx="35">
                  <c:v>8.7200576246344993E-4</c:v>
                </c:pt>
                <c:pt idx="36">
                  <c:v>8.9692021281954849E-4</c:v>
                </c:pt>
                <c:pt idx="37">
                  <c:v>9.2183466317564706E-4</c:v>
                </c:pt>
                <c:pt idx="38">
                  <c:v>9.4674911353174562E-4</c:v>
                </c:pt>
                <c:pt idx="39">
                  <c:v>9.7166356388784418E-4</c:v>
                </c:pt>
                <c:pt idx="40">
                  <c:v>9.9657801424394275E-4</c:v>
                </c:pt>
                <c:pt idx="41">
                  <c:v>1.0214924646000413E-3</c:v>
                </c:pt>
                <c:pt idx="42">
                  <c:v>1.0464069149561399E-3</c:v>
                </c:pt>
                <c:pt idx="43">
                  <c:v>1.0713213653122384E-3</c:v>
                </c:pt>
                <c:pt idx="44">
                  <c:v>1.096235815668337E-3</c:v>
                </c:pt>
                <c:pt idx="45">
                  <c:v>1.1211502660244356E-3</c:v>
                </c:pt>
                <c:pt idx="46">
                  <c:v>1.1460647163805341E-3</c:v>
                </c:pt>
                <c:pt idx="47">
                  <c:v>1.1709791667366327E-3</c:v>
                </c:pt>
                <c:pt idx="48">
                  <c:v>1.1958936170927313E-3</c:v>
                </c:pt>
                <c:pt idx="49">
                  <c:v>1.2208080674488298E-3</c:v>
                </c:pt>
                <c:pt idx="50">
                  <c:v>1.2457225178049284E-3</c:v>
                </c:pt>
                <c:pt idx="51">
                  <c:v>1.2706369681610269E-3</c:v>
                </c:pt>
                <c:pt idx="52">
                  <c:v>1.2955514185171255E-3</c:v>
                </c:pt>
                <c:pt idx="53">
                  <c:v>1.3204658688732241E-3</c:v>
                </c:pt>
                <c:pt idx="54">
                  <c:v>1.3453803192293226E-3</c:v>
                </c:pt>
                <c:pt idx="55">
                  <c:v>1.3702947695854212E-3</c:v>
                </c:pt>
                <c:pt idx="56">
                  <c:v>1.3952092199415198E-3</c:v>
                </c:pt>
                <c:pt idx="57">
                  <c:v>1.4201236702976183E-3</c:v>
                </c:pt>
                <c:pt idx="58">
                  <c:v>1.4450381206537169E-3</c:v>
                </c:pt>
                <c:pt idx="59">
                  <c:v>1.4699525710098155E-3</c:v>
                </c:pt>
                <c:pt idx="60">
                  <c:v>1.494867021365914E-3</c:v>
                </c:pt>
                <c:pt idx="61">
                  <c:v>1.5197814717220126E-3</c:v>
                </c:pt>
                <c:pt idx="62">
                  <c:v>1.5446959220781111E-3</c:v>
                </c:pt>
                <c:pt idx="63">
                  <c:v>1.5696103724342097E-3</c:v>
                </c:pt>
                <c:pt idx="64">
                  <c:v>1.5945248227903083E-3</c:v>
                </c:pt>
                <c:pt idx="65">
                  <c:v>1.6194392731464068E-3</c:v>
                </c:pt>
                <c:pt idx="66">
                  <c:v>1.6443537235025054E-3</c:v>
                </c:pt>
                <c:pt idx="67">
                  <c:v>1.669268173858604E-3</c:v>
                </c:pt>
                <c:pt idx="68">
                  <c:v>1.6941826242147025E-3</c:v>
                </c:pt>
                <c:pt idx="69">
                  <c:v>1.7190970745708011E-3</c:v>
                </c:pt>
                <c:pt idx="70">
                  <c:v>1.7440115249268996E-3</c:v>
                </c:pt>
                <c:pt idx="71">
                  <c:v>1.7689259752829982E-3</c:v>
                </c:pt>
                <c:pt idx="72">
                  <c:v>1.7938404256390968E-3</c:v>
                </c:pt>
                <c:pt idx="73">
                  <c:v>1.8187548759951953E-3</c:v>
                </c:pt>
                <c:pt idx="74">
                  <c:v>1.8436693263512939E-3</c:v>
                </c:pt>
                <c:pt idx="75">
                  <c:v>1.8685837767073925E-3</c:v>
                </c:pt>
                <c:pt idx="76">
                  <c:v>1.893498227063491E-3</c:v>
                </c:pt>
                <c:pt idx="77">
                  <c:v>1.9184126774195896E-3</c:v>
                </c:pt>
                <c:pt idx="78">
                  <c:v>1.9433271277756882E-3</c:v>
                </c:pt>
                <c:pt idx="79">
                  <c:v>1.9682415781317867E-3</c:v>
                </c:pt>
                <c:pt idx="80">
                  <c:v>1.9931560284878855E-3</c:v>
                </c:pt>
                <c:pt idx="81">
                  <c:v>2.0180704788439843E-3</c:v>
                </c:pt>
                <c:pt idx="82">
                  <c:v>2.0429849292000831E-3</c:v>
                </c:pt>
                <c:pt idx="83">
                  <c:v>2.0678993795561818E-3</c:v>
                </c:pt>
                <c:pt idx="84">
                  <c:v>2.0928138299122806E-3</c:v>
                </c:pt>
                <c:pt idx="85">
                  <c:v>2.1177282802683794E-3</c:v>
                </c:pt>
                <c:pt idx="86">
                  <c:v>2.1426427306244782E-3</c:v>
                </c:pt>
                <c:pt idx="87">
                  <c:v>2.167557180980577E-3</c:v>
                </c:pt>
                <c:pt idx="88">
                  <c:v>2.1924716313366757E-3</c:v>
                </c:pt>
                <c:pt idx="89">
                  <c:v>2.2173860816927745E-3</c:v>
                </c:pt>
                <c:pt idx="90">
                  <c:v>2.2423005320488733E-3</c:v>
                </c:pt>
                <c:pt idx="91">
                  <c:v>2.2672149824049721E-3</c:v>
                </c:pt>
                <c:pt idx="92">
                  <c:v>2.2921294327610709E-3</c:v>
                </c:pt>
                <c:pt idx="93">
                  <c:v>2.3170438831171696E-3</c:v>
                </c:pt>
                <c:pt idx="94">
                  <c:v>2.3419583334732684E-3</c:v>
                </c:pt>
                <c:pt idx="95">
                  <c:v>2.3668727838293672E-3</c:v>
                </c:pt>
                <c:pt idx="96">
                  <c:v>2.391787234185466E-3</c:v>
                </c:pt>
                <c:pt idx="97">
                  <c:v>2.4167016845415648E-3</c:v>
                </c:pt>
                <c:pt idx="98">
                  <c:v>2.4416161348976635E-3</c:v>
                </c:pt>
                <c:pt idx="99">
                  <c:v>2.4665305852537623E-3</c:v>
                </c:pt>
                <c:pt idx="100">
                  <c:v>2.4914450356098611E-3</c:v>
                </c:pt>
                <c:pt idx="101">
                  <c:v>2.5163594859659599E-3</c:v>
                </c:pt>
                <c:pt idx="102">
                  <c:v>2.5412739363220587E-3</c:v>
                </c:pt>
                <c:pt idx="103">
                  <c:v>2.5661883866781574E-3</c:v>
                </c:pt>
                <c:pt idx="104">
                  <c:v>2.5911028370342562E-3</c:v>
                </c:pt>
                <c:pt idx="105">
                  <c:v>2.616017287390355E-3</c:v>
                </c:pt>
                <c:pt idx="106">
                  <c:v>2.6409317377464538E-3</c:v>
                </c:pt>
                <c:pt idx="107">
                  <c:v>2.6658461881025526E-3</c:v>
                </c:pt>
                <c:pt idx="108">
                  <c:v>2.6907606384586513E-3</c:v>
                </c:pt>
                <c:pt idx="109">
                  <c:v>2.7156750888147501E-3</c:v>
                </c:pt>
                <c:pt idx="110">
                  <c:v>2.7405895391708489E-3</c:v>
                </c:pt>
                <c:pt idx="111">
                  <c:v>2.7655039895269477E-3</c:v>
                </c:pt>
                <c:pt idx="112">
                  <c:v>2.7904184398830465E-3</c:v>
                </c:pt>
                <c:pt idx="113">
                  <c:v>2.8153328902391452E-3</c:v>
                </c:pt>
                <c:pt idx="114">
                  <c:v>2.840247340595244E-3</c:v>
                </c:pt>
                <c:pt idx="115">
                  <c:v>2.8651617909513428E-3</c:v>
                </c:pt>
                <c:pt idx="116">
                  <c:v>2.8900762413074416E-3</c:v>
                </c:pt>
                <c:pt idx="117">
                  <c:v>2.9149906916635404E-3</c:v>
                </c:pt>
                <c:pt idx="118">
                  <c:v>2.9399051420196391E-3</c:v>
                </c:pt>
                <c:pt idx="119">
                  <c:v>2.9648195923757379E-3</c:v>
                </c:pt>
                <c:pt idx="120">
                  <c:v>2.9897340427318367E-3</c:v>
                </c:pt>
                <c:pt idx="121">
                  <c:v>3.0146484930879355E-3</c:v>
                </c:pt>
                <c:pt idx="122">
                  <c:v>3.0395629434440343E-3</c:v>
                </c:pt>
                <c:pt idx="123">
                  <c:v>3.064477393800133E-3</c:v>
                </c:pt>
                <c:pt idx="124">
                  <c:v>3.0893918441562318E-3</c:v>
                </c:pt>
                <c:pt idx="125">
                  <c:v>3.1143062945123306E-3</c:v>
                </c:pt>
                <c:pt idx="126">
                  <c:v>3.1392207448684294E-3</c:v>
                </c:pt>
                <c:pt idx="127">
                  <c:v>3.1641351952245282E-3</c:v>
                </c:pt>
                <c:pt idx="128">
                  <c:v>3.1890496455806269E-3</c:v>
                </c:pt>
                <c:pt idx="129">
                  <c:v>3.2139640959367257E-3</c:v>
                </c:pt>
                <c:pt idx="130">
                  <c:v>3.2388785462928245E-3</c:v>
                </c:pt>
                <c:pt idx="131">
                  <c:v>3.2637929966489233E-3</c:v>
                </c:pt>
                <c:pt idx="132">
                  <c:v>3.2887074470050221E-3</c:v>
                </c:pt>
                <c:pt idx="133">
                  <c:v>3.3136218973611208E-3</c:v>
                </c:pt>
                <c:pt idx="134">
                  <c:v>3.3385363477172196E-3</c:v>
                </c:pt>
                <c:pt idx="135">
                  <c:v>3.3634507980733184E-3</c:v>
                </c:pt>
                <c:pt idx="136">
                  <c:v>3.3883652484294172E-3</c:v>
                </c:pt>
                <c:pt idx="137">
                  <c:v>3.413279698785516E-3</c:v>
                </c:pt>
                <c:pt idx="138">
                  <c:v>3.4381941491416147E-3</c:v>
                </c:pt>
                <c:pt idx="139">
                  <c:v>3.4631085994977135E-3</c:v>
                </c:pt>
                <c:pt idx="140">
                  <c:v>3.4880230498538123E-3</c:v>
                </c:pt>
                <c:pt idx="141">
                  <c:v>3.5129375002099111E-3</c:v>
                </c:pt>
                <c:pt idx="142">
                  <c:v>3.5378519505660099E-3</c:v>
                </c:pt>
                <c:pt idx="143">
                  <c:v>3.5627664009221086E-3</c:v>
                </c:pt>
                <c:pt idx="144">
                  <c:v>3.5876808512782074E-3</c:v>
                </c:pt>
                <c:pt idx="145">
                  <c:v>3.6125953016343062E-3</c:v>
                </c:pt>
                <c:pt idx="146">
                  <c:v>3.637509751990405E-3</c:v>
                </c:pt>
                <c:pt idx="147">
                  <c:v>3.6624242023465038E-3</c:v>
                </c:pt>
                <c:pt idx="148">
                  <c:v>3.6873386527026025E-3</c:v>
                </c:pt>
                <c:pt idx="149">
                  <c:v>3.7122531030587013E-3</c:v>
                </c:pt>
                <c:pt idx="150">
                  <c:v>3.7371675534148001E-3</c:v>
                </c:pt>
                <c:pt idx="151">
                  <c:v>3.7620820037708989E-3</c:v>
                </c:pt>
                <c:pt idx="152">
                  <c:v>3.7869964541269977E-3</c:v>
                </c:pt>
                <c:pt idx="153">
                  <c:v>3.8119109044830964E-3</c:v>
                </c:pt>
                <c:pt idx="154">
                  <c:v>3.8368253548391952E-3</c:v>
                </c:pt>
                <c:pt idx="155">
                  <c:v>3.861739805195294E-3</c:v>
                </c:pt>
                <c:pt idx="156">
                  <c:v>3.8866542555513928E-3</c:v>
                </c:pt>
                <c:pt idx="157">
                  <c:v>3.9115687059074911E-3</c:v>
                </c:pt>
                <c:pt idx="158">
                  <c:v>3.9364831562635899E-3</c:v>
                </c:pt>
                <c:pt idx="159">
                  <c:v>3.9613976066196887E-3</c:v>
                </c:pt>
                <c:pt idx="160">
                  <c:v>3.9863120569757875E-3</c:v>
                </c:pt>
                <c:pt idx="161">
                  <c:v>4.0112265073318863E-3</c:v>
                </c:pt>
                <c:pt idx="162">
                  <c:v>4.036140957687985E-3</c:v>
                </c:pt>
                <c:pt idx="163">
                  <c:v>4.0610554080440838E-3</c:v>
                </c:pt>
                <c:pt idx="164">
                  <c:v>4.0859698584001826E-3</c:v>
                </c:pt>
                <c:pt idx="165">
                  <c:v>4.1108843087562814E-3</c:v>
                </c:pt>
                <c:pt idx="166">
                  <c:v>4.1357987591123802E-3</c:v>
                </c:pt>
                <c:pt idx="167">
                  <c:v>4.1607132094684789E-3</c:v>
                </c:pt>
                <c:pt idx="168">
                  <c:v>4.1856276598245777E-3</c:v>
                </c:pt>
                <c:pt idx="169">
                  <c:v>4.2105421101806765E-3</c:v>
                </c:pt>
                <c:pt idx="170">
                  <c:v>4.2354565605367753E-3</c:v>
                </c:pt>
                <c:pt idx="171">
                  <c:v>4.2603710108928741E-3</c:v>
                </c:pt>
                <c:pt idx="172">
                  <c:v>4.2852854612489728E-3</c:v>
                </c:pt>
                <c:pt idx="173">
                  <c:v>4.3101999116050716E-3</c:v>
                </c:pt>
                <c:pt idx="174">
                  <c:v>4.3351143619611704E-3</c:v>
                </c:pt>
                <c:pt idx="175">
                  <c:v>4.3600288123172692E-3</c:v>
                </c:pt>
                <c:pt idx="176">
                  <c:v>4.384943262673368E-3</c:v>
                </c:pt>
                <c:pt idx="177">
                  <c:v>4.4098577130294667E-3</c:v>
                </c:pt>
                <c:pt idx="178">
                  <c:v>4.4347721633855655E-3</c:v>
                </c:pt>
                <c:pt idx="179">
                  <c:v>4.4596866137416643E-3</c:v>
                </c:pt>
                <c:pt idx="180">
                  <c:v>4.4846010640977631E-3</c:v>
                </c:pt>
                <c:pt idx="181">
                  <c:v>4.5095155144538619E-3</c:v>
                </c:pt>
                <c:pt idx="182">
                  <c:v>4.5344299648099606E-3</c:v>
                </c:pt>
                <c:pt idx="183">
                  <c:v>4.5593444151660594E-3</c:v>
                </c:pt>
                <c:pt idx="184">
                  <c:v>4.5842588655221582E-3</c:v>
                </c:pt>
                <c:pt idx="185">
                  <c:v>4.609173315878257E-3</c:v>
                </c:pt>
                <c:pt idx="186">
                  <c:v>4.6340877662343558E-3</c:v>
                </c:pt>
                <c:pt idx="187">
                  <c:v>4.6590022165904545E-3</c:v>
                </c:pt>
                <c:pt idx="188">
                  <c:v>4.6839166669465533E-3</c:v>
                </c:pt>
                <c:pt idx="189">
                  <c:v>4.7088311173026521E-3</c:v>
                </c:pt>
                <c:pt idx="190">
                  <c:v>4.7337455676587509E-3</c:v>
                </c:pt>
                <c:pt idx="191">
                  <c:v>4.7586600180148497E-3</c:v>
                </c:pt>
                <c:pt idx="192">
                  <c:v>4.7835744683709484E-3</c:v>
                </c:pt>
                <c:pt idx="193">
                  <c:v>4.8084889187270472E-3</c:v>
                </c:pt>
                <c:pt idx="194">
                  <c:v>4.833403369083146E-3</c:v>
                </c:pt>
                <c:pt idx="195">
                  <c:v>4.8583178194392448E-3</c:v>
                </c:pt>
                <c:pt idx="196">
                  <c:v>4.8832322697953436E-3</c:v>
                </c:pt>
                <c:pt idx="197">
                  <c:v>4.9081467201514423E-3</c:v>
                </c:pt>
                <c:pt idx="198">
                  <c:v>4.9330611705075411E-3</c:v>
                </c:pt>
                <c:pt idx="199">
                  <c:v>4.9579756208636399E-3</c:v>
                </c:pt>
                <c:pt idx="200">
                  <c:v>4.9828900712197387E-3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0.12367151466410789</c:v>
                </c:pt>
                <c:pt idx="2">
                  <c:v>0.24504947178355715</c:v>
                </c:pt>
                <c:pt idx="3">
                  <c:v>0.36341389692705506</c:v>
                </c:pt>
                <c:pt idx="4">
                  <c:v>0.47807230916306959</c:v>
                </c:pt>
                <c:pt idx="5">
                  <c:v>0.58836365025560888</c:v>
                </c:pt>
                <c:pt idx="6">
                  <c:v>0.69366197147679731</c:v>
                </c:pt>
                <c:pt idx="7">
                  <c:v>0.79337985830550839</c:v>
                </c:pt>
                <c:pt idx="8">
                  <c:v>0.88697157514167557</c:v>
                </c:pt>
                <c:pt idx="9">
                  <c:v>0.97393591411340397</c:v>
                </c:pt>
                <c:pt idx="10">
                  <c:v>1.0538187340755865</c:v>
                </c:pt>
                <c:pt idx="11">
                  <c:v>1.1262151779809684</c:v>
                </c:pt>
                <c:pt idx="12">
                  <c:v>1.1907715589339678</c:v>
                </c:pt>
                <c:pt idx="13">
                  <c:v>1.2471869074002773</c:v>
                </c:pt>
                <c:pt idx="14">
                  <c:v>1.2952141742276391</c:v>
                </c:pt>
                <c:pt idx="15">
                  <c:v>1.3346610863214889</c:v>
                </c:pt>
                <c:pt idx="16">
                  <c:v>1.3653906539998184</c:v>
                </c:pt>
                <c:pt idx="17">
                  <c:v>1.3873213312113153</c:v>
                </c:pt>
                <c:pt idx="18">
                  <c:v>1.4004268319264652</c:v>
                </c:pt>
                <c:pt idx="19">
                  <c:v>1.4047356080902398</c:v>
                </c:pt>
                <c:pt idx="20">
                  <c:v>1.4003299965449694</c:v>
                </c:pt>
                <c:pt idx="21">
                  <c:v>1.3873450442812627</c:v>
                </c:pt>
                <c:pt idx="22">
                  <c:v>1.3659670232422998</c:v>
                </c:pt>
                <c:pt idx="23">
                  <c:v>1.3364316476819433</c:v>
                </c:pt>
                <c:pt idx="24">
                  <c:v>1.2990220087501101</c:v>
                </c:pt>
                <c:pt idx="25">
                  <c:v>1.2540662425406373</c:v>
                </c:pt>
                <c:pt idx="26">
                  <c:v>1.2019349492792741</c:v>
                </c:pt>
                <c:pt idx="27">
                  <c:v>1.1430383826449315</c:v>
                </c:pt>
                <c:pt idx="28">
                  <c:v>1.0778234293994697</c:v>
                </c:pt>
                <c:pt idx="29">
                  <c:v>1.0067704005444076</c:v>
                </c:pt>
                <c:pt idx="30">
                  <c:v>0.93038965612229607</c:v>
                </c:pt>
                <c:pt idx="31">
                  <c:v>0.84921808653237596</c:v>
                </c:pt>
                <c:pt idx="32">
                  <c:v>0.76381547383168391</c:v>
                </c:pt>
                <c:pt idx="33">
                  <c:v>0.67476075694216042</c:v>
                </c:pt>
                <c:pt idx="34">
                  <c:v>0.58264822498065927</c:v>
                </c:pt>
                <c:pt idx="35">
                  <c:v>0.48808366307211909</c:v>
                </c:pt>
                <c:pt idx="36">
                  <c:v>0.39168047499754621</c:v>
                </c:pt>
                <c:pt idx="37">
                  <c:v>0.29405580686981592</c:v>
                </c:pt>
                <c:pt idx="38">
                  <c:v>0.19582669572445316</c:v>
                </c:pt>
                <c:pt idx="39">
                  <c:v>9.7606266463213215E-2</c:v>
                </c:pt>
                <c:pt idx="40">
                  <c:v>1.7985702732394986E-15</c:v>
                </c:pt>
                <c:pt idx="41">
                  <c:v>-9.6397905263202646E-2</c:v>
                </c:pt>
                <c:pt idx="42">
                  <c:v>-0.1910080573521519</c:v>
                </c:pt>
                <c:pt idx="43">
                  <c:v>-0.28326925971962019</c:v>
                </c:pt>
                <c:pt idx="44">
                  <c:v>-0.37264174610321693</c:v>
                </c:pt>
                <c:pt idx="45">
                  <c:v>-0.45861024320512855</c:v>
                </c:pt>
                <c:pt idx="46">
                  <c:v>-0.5406868444420706</c:v>
                </c:pt>
                <c:pt idx="47">
                  <c:v>-0.61841367938598513</c:v>
                </c:pt>
                <c:pt idx="48">
                  <c:v>-0.69136536496610757</c:v>
                </c:pt>
                <c:pt idx="49">
                  <c:v>-0.7591512260210368</c:v>
                </c:pt>
                <c:pt idx="50">
                  <c:v>-0.82141727436520673</c:v>
                </c:pt>
                <c:pt idx="51">
                  <c:v>-0.87784793715718923</c:v>
                </c:pt>
                <c:pt idx="52">
                  <c:v>-0.92816752701702487</c:v>
                </c:pt>
                <c:pt idx="53">
                  <c:v>-0.97214144802556501</c:v>
                </c:pt>
                <c:pt idx="54">
                  <c:v>-1.0095771334398584</c:v>
                </c:pt>
                <c:pt idx="55">
                  <c:v>-1.0403247126643604</c:v>
                </c:pt>
                <c:pt idx="56">
                  <c:v>-1.0642774067174769</c:v>
                </c:pt>
                <c:pt idx="57">
                  <c:v>-1.081371653116364</c:v>
                </c:pt>
                <c:pt idx="58">
                  <c:v>-1.0915869627597945</c:v>
                </c:pt>
                <c:pt idx="59">
                  <c:v>-1.0949455130093326</c:v>
                </c:pt>
                <c:pt idx="60">
                  <c:v>-1.0915114827435848</c:v>
                </c:pt>
                <c:pt idx="61">
                  <c:v>-1.0813901366796699</c:v>
                </c:pt>
                <c:pt idx="62">
                  <c:v>-1.0647266677116871</c:v>
                </c:pt>
                <c:pt idx="63">
                  <c:v>-1.0417048073996076</c:v>
                </c:pt>
                <c:pt idx="64">
                  <c:v>-1.0125452160460453</c:v>
                </c:pt>
                <c:pt idx="65">
                  <c:v>-0.9775036650157557</c:v>
                </c:pt>
                <c:pt idx="66">
                  <c:v>-0.93686902507699521</c:v>
                </c:pt>
                <c:pt idx="67">
                  <c:v>-0.89096107556925674</c:v>
                </c:pt>
                <c:pt idx="68">
                  <c:v>-0.84012815012337172</c:v>
                </c:pt>
                <c:pt idx="69">
                  <c:v>-0.78474463547299378</c:v>
                </c:pt>
                <c:pt idx="70">
                  <c:v>-0.72520834059754502</c:v>
                </c:pt>
                <c:pt idx="71">
                  <c:v>-0.66193775402272337</c:v>
                </c:pt>
                <c:pt idx="72">
                  <c:v>-0.59536920757359779</c:v>
                </c:pt>
                <c:pt idx="73">
                  <c:v>-0.52595396522556181</c:v>
                </c:pt>
                <c:pt idx="74">
                  <c:v>-0.45415525592944511</c:v>
                </c:pt>
                <c:pt idx="75">
                  <c:v>-0.3804452693988003</c:v>
                </c:pt>
                <c:pt idx="76">
                  <c:v>-0.30530213384067606</c:v>
                </c:pt>
                <c:pt idx="77">
                  <c:v>-0.22920689448755216</c:v>
                </c:pt>
                <c:pt idx="78">
                  <c:v>-0.15264051154967392</c:v>
                </c:pt>
                <c:pt idx="79">
                  <c:v>-7.6080895856827827E-2</c:v>
                </c:pt>
                <c:pt idx="80">
                  <c:v>-2.8038535353893424E-15</c:v>
                </c:pt>
                <c:pt idx="81">
                  <c:v>7.5139017779253012E-2</c:v>
                </c:pt>
                <c:pt idx="82">
                  <c:v>0.14888454036607088</c:v>
                </c:pt>
                <c:pt idx="83">
                  <c:v>0.22079913338649382</c:v>
                </c:pt>
                <c:pt idx="84">
                  <c:v>0.29046206667345381</c:v>
                </c:pt>
                <c:pt idx="85">
                  <c:v>0.35747170152557151</c:v>
                </c:pt>
                <c:pt idx="86">
                  <c:v>0.42144773070135771</c:v>
                </c:pt>
                <c:pt idx="87">
                  <c:v>0.48203325916102324</c:v>
                </c:pt>
                <c:pt idx="88">
                  <c:v>0.53889671469840961</c:v>
                </c:pt>
                <c:pt idx="89">
                  <c:v>0.59173357878878108</c:v>
                </c:pt>
                <c:pt idx="90">
                  <c:v>0.6402679292064809</c:v>
                </c:pt>
                <c:pt idx="91">
                  <c:v>0.68425378723155461</c:v>
                </c:pt>
                <c:pt idx="92">
                  <c:v>0.72347626355818684</c:v>
                </c:pt>
                <c:pt idx="93">
                  <c:v>0.75775249833178049</c:v>
                </c:pt>
                <c:pt idx="94">
                  <c:v>0.78693239206746746</c:v>
                </c:pt>
                <c:pt idx="95">
                  <c:v>0.81089912553237808</c:v>
                </c:pt>
                <c:pt idx="96">
                  <c:v>0.82956946799888687</c:v>
                </c:pt>
                <c:pt idx="97">
                  <c:v>0.84289387458823994</c:v>
                </c:pt>
                <c:pt idx="98">
                  <c:v>0.85085637471542086</c:v>
                </c:pt>
                <c:pt idx="99">
                  <c:v>0.85347425490922224</c:v>
                </c:pt>
                <c:pt idx="100">
                  <c:v>0.85079754050875811</c:v>
                </c:pt>
                <c:pt idx="101">
                  <c:v>0.8429082819219651</c:v>
                </c:pt>
                <c:pt idx="102">
                  <c:v>0.82991965226626141</c:v>
                </c:pt>
                <c:pt idx="103">
                  <c:v>0.81197486429003085</c:v>
                </c:pt>
                <c:pt idx="104">
                  <c:v>0.78924591549006573</c:v>
                </c:pt>
                <c:pt idx="105">
                  <c:v>0.76193217128900104</c:v>
                </c:pt>
                <c:pt idx="106">
                  <c:v>0.7302587970131208</c:v>
                </c:pt>
                <c:pt idx="107">
                  <c:v>0.69447505021019285</c:v>
                </c:pt>
                <c:pt idx="108">
                  <c:v>0.65485244556519395</c:v>
                </c:pt>
                <c:pt idx="109">
                  <c:v>0.61168280530558461</c:v>
                </c:pt>
                <c:pt idx="110">
                  <c:v>0.56527620853418181</c:v>
                </c:pt>
                <c:pt idx="111">
                  <c:v>0.51595885338451442</c:v>
                </c:pt>
                <c:pt idx="112">
                  <c:v>0.46407084625901784</c:v>
                </c:pt>
                <c:pt idx="113">
                  <c:v>0.40996393268346587</c:v>
                </c:pt>
                <c:pt idx="114">
                  <c:v>0.35399918449108231</c:v>
                </c:pt>
                <c:pt idx="115">
                  <c:v>0.29654465813687847</c:v>
                </c:pt>
                <c:pt idx="116">
                  <c:v>0.23797303893753302</c:v>
                </c:pt>
                <c:pt idx="117">
                  <c:v>0.17865928593574906</c:v>
                </c:pt>
                <c:pt idx="118">
                  <c:v>0.11897829190217386</c:v>
                </c:pt>
                <c:pt idx="119">
                  <c:v>5.9302572715010993E-2</c:v>
                </c:pt>
                <c:pt idx="120">
                  <c:v>-1.7069896179840517E-14</c:v>
                </c:pt>
                <c:pt idx="121">
                  <c:v>-5.8568409525262093E-2</c:v>
                </c:pt>
                <c:pt idx="122">
                  <c:v>-0.11605063507426867</c:v>
                </c:pt>
                <c:pt idx="123">
                  <c:v>-0.172105710843762</c:v>
                </c:pt>
                <c:pt idx="124">
                  <c:v>-0.2264056914140021</c:v>
                </c:pt>
                <c:pt idx="125">
                  <c:v>-0.27863751253902574</c:v>
                </c:pt>
                <c:pt idx="126">
                  <c:v>-0.3285047371489393</c:v>
                </c:pt>
                <c:pt idx="127">
                  <c:v>-0.37572917722018939</c:v>
                </c:pt>
                <c:pt idx="128">
                  <c:v>-0.42005238305072451</c:v>
                </c:pt>
                <c:pt idx="129">
                  <c:v>-0.46123699239930321</c:v>
                </c:pt>
                <c:pt idx="130">
                  <c:v>-0.49906793290555879</c:v>
                </c:pt>
                <c:pt idx="131">
                  <c:v>-0.53335347219355023</c:v>
                </c:pt>
                <c:pt idx="132">
                  <c:v>-0.56392611106994761</c:v>
                </c:pt>
                <c:pt idx="133">
                  <c:v>-0.59064331625222544</c:v>
                </c:pt>
                <c:pt idx="134">
                  <c:v>-0.61338809009576445</c:v>
                </c:pt>
                <c:pt idx="135">
                  <c:v>-0.63206937582509037</c:v>
                </c:pt>
                <c:pt idx="136">
                  <c:v>-0.6466222978072147</c:v>
                </c:pt>
                <c:pt idx="137">
                  <c:v>-0.65700823742780778</c:v>
                </c:pt>
                <c:pt idx="138">
                  <c:v>-0.66321474613761688</c:v>
                </c:pt>
                <c:pt idx="139">
                  <c:v>-0.66525529822107543</c:v>
                </c:pt>
                <c:pt idx="140">
                  <c:v>-0.66316888679566699</c:v>
                </c:pt>
                <c:pt idx="141">
                  <c:v>-0.65701946747374562</c:v>
                </c:pt>
                <c:pt idx="142">
                  <c:v>-0.64689525500290967</c:v>
                </c:pt>
                <c:pt idx="143">
                  <c:v>-0.63290787904168389</c:v>
                </c:pt>
                <c:pt idx="144">
                  <c:v>-0.61519140601956368</c:v>
                </c:pt>
                <c:pt idx="145">
                  <c:v>-0.59390123477011303</c:v>
                </c:pt>
                <c:pt idx="146">
                  <c:v>-0.56921287430889445</c:v>
                </c:pt>
                <c:pt idx="147">
                  <c:v>-0.54132061275100796</c:v>
                </c:pt>
                <c:pt idx="148">
                  <c:v>-0.5104360869228578</c:v>
                </c:pt>
                <c:pt idx="149">
                  <c:v>-0.47678676271675352</c:v>
                </c:pt>
                <c:pt idx="150">
                  <c:v>-0.44061433666288385</c:v>
                </c:pt>
                <c:pt idx="151">
                  <c:v>-0.40217306954925891</c:v>
                </c:pt>
                <c:pt idx="152">
                  <c:v>-0.36172806320511075</c:v>
                </c:pt>
                <c:pt idx="153">
                  <c:v>-0.31955349177605841</c:v>
                </c:pt>
                <c:pt idx="154">
                  <c:v>-0.27593079895968059</c:v>
                </c:pt>
                <c:pt idx="155">
                  <c:v>-0.23114687273804868</c:v>
                </c:pt>
                <c:pt idx="156">
                  <c:v>-0.18549220913967737</c:v>
                </c:pt>
                <c:pt idx="157">
                  <c:v>-0.13925907648823124</c:v>
                </c:pt>
                <c:pt idx="158">
                  <c:v>-9.2739691450472519E-2</c:v>
                </c:pt>
                <c:pt idx="159">
                  <c:v>-4.622441798315912E-2</c:v>
                </c:pt>
                <c:pt idx="160">
                  <c:v>2.7794364240957151E-14</c:v>
                </c:pt>
                <c:pt idx="161">
                  <c:v>4.5652161762300261E-2</c:v>
                </c:pt>
                <c:pt idx="162">
                  <c:v>9.0457678601331998E-2</c:v>
                </c:pt>
                <c:pt idx="163">
                  <c:v>0.1341507788130136</c:v>
                </c:pt>
                <c:pt idx="164">
                  <c:v>0.17647583965681782</c:v>
                </c:pt>
                <c:pt idx="165">
                  <c:v>0.21718883778099909</c:v>
                </c:pt>
                <c:pt idx="166">
                  <c:v>0.25605871017434206</c:v>
                </c:pt>
                <c:pt idx="167">
                  <c:v>0.29286861836104394</c:v>
                </c:pt>
                <c:pt idx="168">
                  <c:v>0.3274171092420517</c:v>
                </c:pt>
                <c:pt idx="169">
                  <c:v>0.35951916670507544</c:v>
                </c:pt>
                <c:pt idx="170">
                  <c:v>0.38900714887174193</c:v>
                </c:pt>
                <c:pt idx="171">
                  <c:v>0.41573160661900982</c:v>
                </c:pt>
                <c:pt idx="172">
                  <c:v>0.4395619797979704</c:v>
                </c:pt>
                <c:pt idx="173">
                  <c:v>0.46038716837153731</c:v>
                </c:pt>
                <c:pt idx="174">
                  <c:v>0.47811597649810766</c:v>
                </c:pt>
                <c:pt idx="175">
                  <c:v>0.49267742839607603</c:v>
                </c:pt>
                <c:pt idx="176">
                  <c:v>0.50402095562905058</c:v>
                </c:pt>
                <c:pt idx="177">
                  <c:v>0.51211645624885294</c:v>
                </c:pt>
                <c:pt idx="178">
                  <c:v>0.51695422701804183</c:v>
                </c:pt>
                <c:pt idx="179">
                  <c:v>0.51854477070112026</c:v>
                </c:pt>
                <c:pt idx="180">
                  <c:v>0.51691848115924011</c:v>
                </c:pt>
                <c:pt idx="181">
                  <c:v>0.51212520970276576</c:v>
                </c:pt>
                <c:pt idx="182">
                  <c:v>0.50423371684542495</c:v>
                </c:pt>
                <c:pt idx="183">
                  <c:v>0.49333101425903492</c:v>
                </c:pt>
                <c:pt idx="184">
                  <c:v>0.47952160234536156</c:v>
                </c:pt>
                <c:pt idx="185">
                  <c:v>0.46292660941820146</c:v>
                </c:pt>
                <c:pt idx="186">
                  <c:v>0.44368283902120809</c:v>
                </c:pt>
                <c:pt idx="187">
                  <c:v>0.42194173239260035</c:v>
                </c:pt>
                <c:pt idx="188">
                  <c:v>0.39786825352426758</c:v>
                </c:pt>
                <c:pt idx="189">
                  <c:v>0.3716397046478272</c:v>
                </c:pt>
                <c:pt idx="190">
                  <c:v>0.34344448031220043</c:v>
                </c:pt>
                <c:pt idx="191">
                  <c:v>0.3134807684947995</c:v>
                </c:pt>
                <c:pt idx="192">
                  <c:v>0.28195520741048619</c:v>
                </c:pt>
                <c:pt idx="193">
                  <c:v>0.24908150684834707</c:v>
                </c:pt>
                <c:pt idx="194">
                  <c:v>0.2150790429757225</c:v>
                </c:pt>
                <c:pt idx="195">
                  <c:v>0.1801714356018464</c:v>
                </c:pt>
                <c:pt idx="196">
                  <c:v>0.1445851168902777</c:v>
                </c:pt>
                <c:pt idx="197">
                  <c:v>0.10854790045074429</c:v>
                </c:pt>
                <c:pt idx="198">
                  <c:v>7.2287559628106485E-2</c:v>
                </c:pt>
                <c:pt idx="199">
                  <c:v>3.6030423640304413E-2</c:v>
                </c:pt>
                <c:pt idx="200">
                  <c:v>-3.29584525622168E-14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9C-4EB9-AA98-992E28CC9579}"/>
            </c:ext>
          </c:extLst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2.491445035609858E-5</c:v>
                </c:pt>
                <c:pt idx="2">
                  <c:v>4.982890071219716E-5</c:v>
                </c:pt>
                <c:pt idx="3">
                  <c:v>7.4743351068295744E-5</c:v>
                </c:pt>
                <c:pt idx="4">
                  <c:v>9.9657801424394321E-5</c:v>
                </c:pt>
                <c:pt idx="5">
                  <c:v>1.245722517804929E-4</c:v>
                </c:pt>
                <c:pt idx="6">
                  <c:v>1.4948670213659149E-4</c:v>
                </c:pt>
                <c:pt idx="7">
                  <c:v>1.7440115249269008E-4</c:v>
                </c:pt>
                <c:pt idx="8">
                  <c:v>1.9931560284878867E-4</c:v>
                </c:pt>
                <c:pt idx="9">
                  <c:v>2.2423005320488726E-4</c:v>
                </c:pt>
                <c:pt idx="10">
                  <c:v>2.4914450356098585E-4</c:v>
                </c:pt>
                <c:pt idx="11">
                  <c:v>2.7405895391708441E-4</c:v>
                </c:pt>
                <c:pt idx="12">
                  <c:v>2.9897340427318298E-4</c:v>
                </c:pt>
                <c:pt idx="13">
                  <c:v>3.2388785462928154E-4</c:v>
                </c:pt>
                <c:pt idx="14">
                  <c:v>3.488023049853801E-4</c:v>
                </c:pt>
                <c:pt idx="15">
                  <c:v>3.7371675534147867E-4</c:v>
                </c:pt>
                <c:pt idx="16">
                  <c:v>3.9863120569757723E-4</c:v>
                </c:pt>
                <c:pt idx="17">
                  <c:v>4.2354565605367579E-4</c:v>
                </c:pt>
                <c:pt idx="18">
                  <c:v>4.4846010640977436E-4</c:v>
                </c:pt>
                <c:pt idx="19">
                  <c:v>4.7337455676587292E-4</c:v>
                </c:pt>
                <c:pt idx="20">
                  <c:v>4.9828900712197148E-4</c:v>
                </c:pt>
                <c:pt idx="21">
                  <c:v>5.2320345747807005E-4</c:v>
                </c:pt>
                <c:pt idx="22">
                  <c:v>5.4811790783416861E-4</c:v>
                </c:pt>
                <c:pt idx="23">
                  <c:v>5.7303235819026717E-4</c:v>
                </c:pt>
                <c:pt idx="24">
                  <c:v>5.9794680854636574E-4</c:v>
                </c:pt>
                <c:pt idx="25">
                  <c:v>6.228612589024643E-4</c:v>
                </c:pt>
                <c:pt idx="26">
                  <c:v>6.4777570925856286E-4</c:v>
                </c:pt>
                <c:pt idx="27">
                  <c:v>6.7269015961466143E-4</c:v>
                </c:pt>
                <c:pt idx="28">
                  <c:v>6.9760460997075999E-4</c:v>
                </c:pt>
                <c:pt idx="29">
                  <c:v>7.2251906032685855E-4</c:v>
                </c:pt>
                <c:pt idx="30">
                  <c:v>7.4743351068295712E-4</c:v>
                </c:pt>
                <c:pt idx="31">
                  <c:v>7.7234796103905568E-4</c:v>
                </c:pt>
                <c:pt idx="32">
                  <c:v>7.9726241139515424E-4</c:v>
                </c:pt>
                <c:pt idx="33">
                  <c:v>8.221768617512528E-4</c:v>
                </c:pt>
                <c:pt idx="34">
                  <c:v>8.4709131210735137E-4</c:v>
                </c:pt>
                <c:pt idx="35">
                  <c:v>8.7200576246344993E-4</c:v>
                </c:pt>
                <c:pt idx="36">
                  <c:v>8.9692021281954849E-4</c:v>
                </c:pt>
                <c:pt idx="37">
                  <c:v>9.2183466317564706E-4</c:v>
                </c:pt>
                <c:pt idx="38">
                  <c:v>9.4674911353174562E-4</c:v>
                </c:pt>
                <c:pt idx="39">
                  <c:v>9.7166356388784418E-4</c:v>
                </c:pt>
                <c:pt idx="40">
                  <c:v>9.9657801424394275E-4</c:v>
                </c:pt>
                <c:pt idx="41">
                  <c:v>1.0214924646000413E-3</c:v>
                </c:pt>
                <c:pt idx="42">
                  <c:v>1.0464069149561399E-3</c:v>
                </c:pt>
                <c:pt idx="43">
                  <c:v>1.0713213653122384E-3</c:v>
                </c:pt>
                <c:pt idx="44">
                  <c:v>1.096235815668337E-3</c:v>
                </c:pt>
                <c:pt idx="45">
                  <c:v>1.1211502660244356E-3</c:v>
                </c:pt>
                <c:pt idx="46">
                  <c:v>1.1460647163805341E-3</c:v>
                </c:pt>
                <c:pt idx="47">
                  <c:v>1.1709791667366327E-3</c:v>
                </c:pt>
                <c:pt idx="48">
                  <c:v>1.1958936170927313E-3</c:v>
                </c:pt>
                <c:pt idx="49">
                  <c:v>1.2208080674488298E-3</c:v>
                </c:pt>
                <c:pt idx="50">
                  <c:v>1.2457225178049284E-3</c:v>
                </c:pt>
                <c:pt idx="51">
                  <c:v>1.2706369681610269E-3</c:v>
                </c:pt>
                <c:pt idx="52">
                  <c:v>1.2955514185171255E-3</c:v>
                </c:pt>
                <c:pt idx="53">
                  <c:v>1.3204658688732241E-3</c:v>
                </c:pt>
                <c:pt idx="54">
                  <c:v>1.3453803192293226E-3</c:v>
                </c:pt>
                <c:pt idx="55">
                  <c:v>1.3702947695854212E-3</c:v>
                </c:pt>
                <c:pt idx="56">
                  <c:v>1.3952092199415198E-3</c:v>
                </c:pt>
                <c:pt idx="57">
                  <c:v>1.4201236702976183E-3</c:v>
                </c:pt>
                <c:pt idx="58">
                  <c:v>1.4450381206537169E-3</c:v>
                </c:pt>
                <c:pt idx="59">
                  <c:v>1.4699525710098155E-3</c:v>
                </c:pt>
                <c:pt idx="60">
                  <c:v>1.494867021365914E-3</c:v>
                </c:pt>
                <c:pt idx="61">
                  <c:v>1.5197814717220126E-3</c:v>
                </c:pt>
                <c:pt idx="62">
                  <c:v>1.5446959220781111E-3</c:v>
                </c:pt>
                <c:pt idx="63">
                  <c:v>1.5696103724342097E-3</c:v>
                </c:pt>
                <c:pt idx="64">
                  <c:v>1.5945248227903083E-3</c:v>
                </c:pt>
                <c:pt idx="65">
                  <c:v>1.6194392731464068E-3</c:v>
                </c:pt>
                <c:pt idx="66">
                  <c:v>1.6443537235025054E-3</c:v>
                </c:pt>
                <c:pt idx="67">
                  <c:v>1.669268173858604E-3</c:v>
                </c:pt>
                <c:pt idx="68">
                  <c:v>1.6941826242147025E-3</c:v>
                </c:pt>
                <c:pt idx="69">
                  <c:v>1.7190970745708011E-3</c:v>
                </c:pt>
                <c:pt idx="70">
                  <c:v>1.7440115249268996E-3</c:v>
                </c:pt>
                <c:pt idx="71">
                  <c:v>1.7689259752829982E-3</c:v>
                </c:pt>
                <c:pt idx="72">
                  <c:v>1.7938404256390968E-3</c:v>
                </c:pt>
                <c:pt idx="73">
                  <c:v>1.8187548759951953E-3</c:v>
                </c:pt>
                <c:pt idx="74">
                  <c:v>1.8436693263512939E-3</c:v>
                </c:pt>
                <c:pt idx="75">
                  <c:v>1.8685837767073925E-3</c:v>
                </c:pt>
                <c:pt idx="76">
                  <c:v>1.893498227063491E-3</c:v>
                </c:pt>
                <c:pt idx="77">
                  <c:v>1.9184126774195896E-3</c:v>
                </c:pt>
                <c:pt idx="78">
                  <c:v>1.9433271277756882E-3</c:v>
                </c:pt>
                <c:pt idx="79">
                  <c:v>1.9682415781317867E-3</c:v>
                </c:pt>
                <c:pt idx="80">
                  <c:v>1.9931560284878855E-3</c:v>
                </c:pt>
                <c:pt idx="81">
                  <c:v>2.0180704788439843E-3</c:v>
                </c:pt>
                <c:pt idx="82">
                  <c:v>2.0429849292000831E-3</c:v>
                </c:pt>
                <c:pt idx="83">
                  <c:v>2.0678993795561818E-3</c:v>
                </c:pt>
                <c:pt idx="84">
                  <c:v>2.0928138299122806E-3</c:v>
                </c:pt>
                <c:pt idx="85">
                  <c:v>2.1177282802683794E-3</c:v>
                </c:pt>
                <c:pt idx="86">
                  <c:v>2.1426427306244782E-3</c:v>
                </c:pt>
                <c:pt idx="87">
                  <c:v>2.167557180980577E-3</c:v>
                </c:pt>
                <c:pt idx="88">
                  <c:v>2.1924716313366757E-3</c:v>
                </c:pt>
                <c:pt idx="89">
                  <c:v>2.2173860816927745E-3</c:v>
                </c:pt>
                <c:pt idx="90">
                  <c:v>2.2423005320488733E-3</c:v>
                </c:pt>
                <c:pt idx="91">
                  <c:v>2.2672149824049721E-3</c:v>
                </c:pt>
                <c:pt idx="92">
                  <c:v>2.2921294327610709E-3</c:v>
                </c:pt>
                <c:pt idx="93">
                  <c:v>2.3170438831171696E-3</c:v>
                </c:pt>
                <c:pt idx="94">
                  <c:v>2.3419583334732684E-3</c:v>
                </c:pt>
                <c:pt idx="95">
                  <c:v>2.3668727838293672E-3</c:v>
                </c:pt>
                <c:pt idx="96">
                  <c:v>2.391787234185466E-3</c:v>
                </c:pt>
                <c:pt idx="97">
                  <c:v>2.4167016845415648E-3</c:v>
                </c:pt>
                <c:pt idx="98">
                  <c:v>2.4416161348976635E-3</c:v>
                </c:pt>
                <c:pt idx="99">
                  <c:v>2.4665305852537623E-3</c:v>
                </c:pt>
                <c:pt idx="100">
                  <c:v>2.4914450356098611E-3</c:v>
                </c:pt>
                <c:pt idx="101">
                  <c:v>2.5163594859659599E-3</c:v>
                </c:pt>
                <c:pt idx="102">
                  <c:v>2.5412739363220587E-3</c:v>
                </c:pt>
                <c:pt idx="103">
                  <c:v>2.5661883866781574E-3</c:v>
                </c:pt>
                <c:pt idx="104">
                  <c:v>2.5911028370342562E-3</c:v>
                </c:pt>
                <c:pt idx="105">
                  <c:v>2.616017287390355E-3</c:v>
                </c:pt>
                <c:pt idx="106">
                  <c:v>2.6409317377464538E-3</c:v>
                </c:pt>
                <c:pt idx="107">
                  <c:v>2.6658461881025526E-3</c:v>
                </c:pt>
                <c:pt idx="108">
                  <c:v>2.6907606384586513E-3</c:v>
                </c:pt>
                <c:pt idx="109">
                  <c:v>2.7156750888147501E-3</c:v>
                </c:pt>
                <c:pt idx="110">
                  <c:v>2.7405895391708489E-3</c:v>
                </c:pt>
                <c:pt idx="111">
                  <c:v>2.7655039895269477E-3</c:v>
                </c:pt>
                <c:pt idx="112">
                  <c:v>2.7904184398830465E-3</c:v>
                </c:pt>
                <c:pt idx="113">
                  <c:v>2.8153328902391452E-3</c:v>
                </c:pt>
                <c:pt idx="114">
                  <c:v>2.840247340595244E-3</c:v>
                </c:pt>
                <c:pt idx="115">
                  <c:v>2.8651617909513428E-3</c:v>
                </c:pt>
                <c:pt idx="116">
                  <c:v>2.8900762413074416E-3</c:v>
                </c:pt>
                <c:pt idx="117">
                  <c:v>2.9149906916635404E-3</c:v>
                </c:pt>
                <c:pt idx="118">
                  <c:v>2.9399051420196391E-3</c:v>
                </c:pt>
                <c:pt idx="119">
                  <c:v>2.9648195923757379E-3</c:v>
                </c:pt>
                <c:pt idx="120">
                  <c:v>2.9897340427318367E-3</c:v>
                </c:pt>
                <c:pt idx="121">
                  <c:v>3.0146484930879355E-3</c:v>
                </c:pt>
                <c:pt idx="122">
                  <c:v>3.0395629434440343E-3</c:v>
                </c:pt>
                <c:pt idx="123">
                  <c:v>3.064477393800133E-3</c:v>
                </c:pt>
                <c:pt idx="124">
                  <c:v>3.0893918441562318E-3</c:v>
                </c:pt>
                <c:pt idx="125">
                  <c:v>3.1143062945123306E-3</c:v>
                </c:pt>
                <c:pt idx="126">
                  <c:v>3.1392207448684294E-3</c:v>
                </c:pt>
                <c:pt idx="127">
                  <c:v>3.1641351952245282E-3</c:v>
                </c:pt>
                <c:pt idx="128">
                  <c:v>3.1890496455806269E-3</c:v>
                </c:pt>
                <c:pt idx="129">
                  <c:v>3.2139640959367257E-3</c:v>
                </c:pt>
                <c:pt idx="130">
                  <c:v>3.2388785462928245E-3</c:v>
                </c:pt>
                <c:pt idx="131">
                  <c:v>3.2637929966489233E-3</c:v>
                </c:pt>
                <c:pt idx="132">
                  <c:v>3.2887074470050221E-3</c:v>
                </c:pt>
                <c:pt idx="133">
                  <c:v>3.3136218973611208E-3</c:v>
                </c:pt>
                <c:pt idx="134">
                  <c:v>3.3385363477172196E-3</c:v>
                </c:pt>
                <c:pt idx="135">
                  <c:v>3.3634507980733184E-3</c:v>
                </c:pt>
                <c:pt idx="136">
                  <c:v>3.3883652484294172E-3</c:v>
                </c:pt>
                <c:pt idx="137">
                  <c:v>3.413279698785516E-3</c:v>
                </c:pt>
                <c:pt idx="138">
                  <c:v>3.4381941491416147E-3</c:v>
                </c:pt>
                <c:pt idx="139">
                  <c:v>3.4631085994977135E-3</c:v>
                </c:pt>
                <c:pt idx="140">
                  <c:v>3.4880230498538123E-3</c:v>
                </c:pt>
                <c:pt idx="141">
                  <c:v>3.5129375002099111E-3</c:v>
                </c:pt>
                <c:pt idx="142">
                  <c:v>3.5378519505660099E-3</c:v>
                </c:pt>
                <c:pt idx="143">
                  <c:v>3.5627664009221086E-3</c:v>
                </c:pt>
                <c:pt idx="144">
                  <c:v>3.5876808512782074E-3</c:v>
                </c:pt>
                <c:pt idx="145">
                  <c:v>3.6125953016343062E-3</c:v>
                </c:pt>
                <c:pt idx="146">
                  <c:v>3.637509751990405E-3</c:v>
                </c:pt>
                <c:pt idx="147">
                  <c:v>3.6624242023465038E-3</c:v>
                </c:pt>
                <c:pt idx="148">
                  <c:v>3.6873386527026025E-3</c:v>
                </c:pt>
                <c:pt idx="149">
                  <c:v>3.7122531030587013E-3</c:v>
                </c:pt>
                <c:pt idx="150">
                  <c:v>3.7371675534148001E-3</c:v>
                </c:pt>
                <c:pt idx="151">
                  <c:v>3.7620820037708989E-3</c:v>
                </c:pt>
                <c:pt idx="152">
                  <c:v>3.7869964541269977E-3</c:v>
                </c:pt>
                <c:pt idx="153">
                  <c:v>3.8119109044830964E-3</c:v>
                </c:pt>
                <c:pt idx="154">
                  <c:v>3.8368253548391952E-3</c:v>
                </c:pt>
                <c:pt idx="155">
                  <c:v>3.861739805195294E-3</c:v>
                </c:pt>
                <c:pt idx="156">
                  <c:v>3.8866542555513928E-3</c:v>
                </c:pt>
                <c:pt idx="157">
                  <c:v>3.9115687059074911E-3</c:v>
                </c:pt>
                <c:pt idx="158">
                  <c:v>3.9364831562635899E-3</c:v>
                </c:pt>
                <c:pt idx="159">
                  <c:v>3.9613976066196887E-3</c:v>
                </c:pt>
                <c:pt idx="160">
                  <c:v>3.9863120569757875E-3</c:v>
                </c:pt>
                <c:pt idx="161">
                  <c:v>4.0112265073318863E-3</c:v>
                </c:pt>
                <c:pt idx="162">
                  <c:v>4.036140957687985E-3</c:v>
                </c:pt>
                <c:pt idx="163">
                  <c:v>4.0610554080440838E-3</c:v>
                </c:pt>
                <c:pt idx="164">
                  <c:v>4.0859698584001826E-3</c:v>
                </c:pt>
                <c:pt idx="165">
                  <c:v>4.1108843087562814E-3</c:v>
                </c:pt>
                <c:pt idx="166">
                  <c:v>4.1357987591123802E-3</c:v>
                </c:pt>
                <c:pt idx="167">
                  <c:v>4.1607132094684789E-3</c:v>
                </c:pt>
                <c:pt idx="168">
                  <c:v>4.1856276598245777E-3</c:v>
                </c:pt>
                <c:pt idx="169">
                  <c:v>4.2105421101806765E-3</c:v>
                </c:pt>
                <c:pt idx="170">
                  <c:v>4.2354565605367753E-3</c:v>
                </c:pt>
                <c:pt idx="171">
                  <c:v>4.2603710108928741E-3</c:v>
                </c:pt>
                <c:pt idx="172">
                  <c:v>4.2852854612489728E-3</c:v>
                </c:pt>
                <c:pt idx="173">
                  <c:v>4.3101999116050716E-3</c:v>
                </c:pt>
                <c:pt idx="174">
                  <c:v>4.3351143619611704E-3</c:v>
                </c:pt>
                <c:pt idx="175">
                  <c:v>4.3600288123172692E-3</c:v>
                </c:pt>
                <c:pt idx="176">
                  <c:v>4.384943262673368E-3</c:v>
                </c:pt>
                <c:pt idx="177">
                  <c:v>4.4098577130294667E-3</c:v>
                </c:pt>
                <c:pt idx="178">
                  <c:v>4.4347721633855655E-3</c:v>
                </c:pt>
                <c:pt idx="179">
                  <c:v>4.4596866137416643E-3</c:v>
                </c:pt>
                <c:pt idx="180">
                  <c:v>4.4846010640977631E-3</c:v>
                </c:pt>
                <c:pt idx="181">
                  <c:v>4.5095155144538619E-3</c:v>
                </c:pt>
                <c:pt idx="182">
                  <c:v>4.5344299648099606E-3</c:v>
                </c:pt>
                <c:pt idx="183">
                  <c:v>4.5593444151660594E-3</c:v>
                </c:pt>
                <c:pt idx="184">
                  <c:v>4.5842588655221582E-3</c:v>
                </c:pt>
                <c:pt idx="185">
                  <c:v>4.609173315878257E-3</c:v>
                </c:pt>
                <c:pt idx="186">
                  <c:v>4.6340877662343558E-3</c:v>
                </c:pt>
                <c:pt idx="187">
                  <c:v>4.6590022165904545E-3</c:v>
                </c:pt>
                <c:pt idx="188">
                  <c:v>4.6839166669465533E-3</c:v>
                </c:pt>
                <c:pt idx="189">
                  <c:v>4.7088311173026521E-3</c:v>
                </c:pt>
                <c:pt idx="190">
                  <c:v>4.7337455676587509E-3</c:v>
                </c:pt>
                <c:pt idx="191">
                  <c:v>4.7586600180148497E-3</c:v>
                </c:pt>
                <c:pt idx="192">
                  <c:v>4.7835744683709484E-3</c:v>
                </c:pt>
                <c:pt idx="193">
                  <c:v>4.8084889187270472E-3</c:v>
                </c:pt>
                <c:pt idx="194">
                  <c:v>4.833403369083146E-3</c:v>
                </c:pt>
                <c:pt idx="195">
                  <c:v>4.8583178194392448E-3</c:v>
                </c:pt>
                <c:pt idx="196">
                  <c:v>4.8832322697953436E-3</c:v>
                </c:pt>
                <c:pt idx="197">
                  <c:v>4.9081467201514423E-3</c:v>
                </c:pt>
                <c:pt idx="198">
                  <c:v>4.9330611705075411E-3</c:v>
                </c:pt>
                <c:pt idx="199">
                  <c:v>4.9579756208636399E-3</c:v>
                </c:pt>
                <c:pt idx="200">
                  <c:v>4.9828900712197387E-3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10</c:v>
                </c:pt>
                <c:pt idx="1">
                  <c:v>9.8454364406802419</c:v>
                </c:pt>
                <c:pt idx="2">
                  <c:v>9.6320832965901815</c:v>
                </c:pt>
                <c:pt idx="3">
                  <c:v>9.361983831419197</c:v>
                </c:pt>
                <c:pt idx="4">
                  <c:v>9.0375058887595578</c:v>
                </c:pt>
                <c:pt idx="5">
                  <c:v>8.6613232746329043</c:v>
                </c:pt>
                <c:pt idx="6">
                  <c:v>8.2363954840566151</c:v>
                </c:pt>
                <c:pt idx="7">
                  <c:v>7.7659459171488079</c:v>
                </c:pt>
                <c:pt idx="8">
                  <c:v>7.2534387377823304</c:v>
                </c:pt>
                <c:pt idx="9">
                  <c:v>6.7025545342732613</c:v>
                </c:pt>
                <c:pt idx="10">
                  <c:v>6.1171649470013465</c:v>
                </c:pt>
                <c:pt idx="11">
                  <c:v>5.5013064321877252</c:v>
                </c:pt>
                <c:pt idx="12">
                  <c:v>4.859153334286507</c:v>
                </c:pt>
                <c:pt idx="13">
                  <c:v>4.1949904415745092</c:v>
                </c:pt>
                <c:pt idx="14">
                  <c:v>3.5131852005485529</c:v>
                </c:pt>
                <c:pt idx="15">
                  <c:v>2.8181597646693053</c:v>
                </c:pt>
                <c:pt idx="16">
                  <c:v>2.1143630518389163</c:v>
                </c:pt>
                <c:pt idx="17">
                  <c:v>1.4062429827867788</c:v>
                </c:pt>
                <c:pt idx="18">
                  <c:v>0.69821906929106436</c:v>
                </c:pt>
                <c:pt idx="19">
                  <c:v>-5.3444830848068392E-3</c:v>
                </c:pt>
                <c:pt idx="20">
                  <c:v>-0.70016499827248069</c:v>
                </c:pt>
                <c:pt idx="21">
                  <c:v>-1.3820667256572765</c:v>
                </c:pt>
                <c:pt idx="22">
                  <c:v>-2.0470052623758068</c:v>
                </c:pt>
                <c:pt idx="23">
                  <c:v>-2.691090863428288</c:v>
                </c:pt>
                <c:pt idx="24">
                  <c:v>-3.3106105096533547</c:v>
                </c:pt>
                <c:pt idx="25">
                  <c:v>-3.9020486128805665</c:v>
                </c:pt>
                <c:pt idx="26">
                  <c:v>-4.4621062474725157</c:v>
                </c:pt>
                <c:pt idx="27">
                  <c:v>-4.9877188079256705</c:v>
                </c:pt>
                <c:pt idx="28">
                  <c:v>-5.4760720031454024</c:v>
                </c:pt>
                <c:pt idx="29">
                  <c:v>-5.9246161093728418</c:v>
                </c:pt>
                <c:pt idx="30">
                  <c:v>-6.3310784154433239</c:v>
                </c:pt>
                <c:pt idx="31">
                  <c:v>-6.6934738060228351</c:v>
                </c:pt>
                <c:pt idx="32">
                  <c:v>-7.010113440622046</c:v>
                </c:pt>
                <c:pt idx="33">
                  <c:v>-7.2796114984508513</c:v>
                </c:pt>
                <c:pt idx="34">
                  <c:v>-7.5008899714720378</c:v>
                </c:pt>
                <c:pt idx="35">
                  <c:v>-7.6731815002652279</c:v>
                </c:pt>
                <c:pt idx="36">
                  <c:v>-7.7960302594462156</c:v>
                </c:pt>
                <c:pt idx="37">
                  <c:v>-7.8692909113289762</c:v>
                </c:pt>
                <c:pt idx="38">
                  <c:v>-7.8931256581966771</c:v>
                </c:pt>
                <c:pt idx="39">
                  <c:v>-7.8679994348954203</c:v>
                </c:pt>
                <c:pt idx="40">
                  <c:v>-7.7946732944139487</c:v>
                </c:pt>
                <c:pt idx="41">
                  <c:v>-7.674196049602017</c:v>
                </c:pt>
                <c:pt idx="42">
                  <c:v>-7.5078942441502168</c:v>
                </c:pt>
                <c:pt idx="43">
                  <c:v>-7.2973605353498385</c:v>
                </c:pt>
                <c:pt idx="44">
                  <c:v>-7.0444405799222949</c:v>
                </c:pt>
                <c:pt idx="45">
                  <c:v>-6.7512185223067078</c:v>
                </c:pt>
                <c:pt idx="46">
                  <c:v>-6.4200011921807771</c:v>
                </c:pt>
                <c:pt idx="47">
                  <c:v>-6.0533011246262909</c:v>
                </c:pt>
                <c:pt idx="48">
                  <c:v>-5.6538185222059614</c:v>
                </c:pt>
                <c:pt idx="49">
                  <c:v>-5.2244222832652998</c:v>
                </c:pt>
                <c:pt idx="50">
                  <c:v>-4.7681302249916619</c:v>
                </c:pt>
                <c:pt idx="51">
                  <c:v>-4.2880886331361445</c:v>
                </c:pt>
                <c:pt idx="52">
                  <c:v>-3.7875512728225651</c:v>
                </c:pt>
                <c:pt idx="53">
                  <c:v>-3.2698579965262677</c:v>
                </c:pt>
                <c:pt idx="54">
                  <c:v>-2.7384130861046216</c:v>
                </c:pt>
                <c:pt idx="55">
                  <c:v>-2.1966634657059885</c:v>
                </c:pt>
                <c:pt idx="56">
                  <c:v>-1.6480769214864512</c:v>
                </c:pt>
                <c:pt idx="57">
                  <c:v>-1.0961204623385274</c:v>
                </c:pt>
                <c:pt idx="58">
                  <c:v>-0.54423895330537242</c:v>
                </c:pt>
                <c:pt idx="59">
                  <c:v>4.1658499573440366E-3</c:v>
                </c:pt>
                <c:pt idx="60">
                  <c:v>0.54575574137177973</c:v>
                </c:pt>
                <c:pt idx="61">
                  <c:v>1.0772758597578758</c:v>
                </c:pt>
                <c:pt idx="62">
                  <c:v>1.595573725216541</c:v>
                </c:pt>
                <c:pt idx="63">
                  <c:v>2.0976174086005734</c:v>
                </c:pt>
                <c:pt idx="64">
                  <c:v>2.5805127327801003</c:v>
                </c:pt>
                <c:pt idx="65">
                  <c:v>3.0415194116324997</c:v>
                </c:pt>
                <c:pt idx="66">
                  <c:v>3.478066040401151</c:v>
                </c:pt>
                <c:pt idx="67">
                  <c:v>3.8877638592184285</c:v>
                </c:pt>
                <c:pt idx="68">
                  <c:v>4.2684192201205251</c:v>
                </c:pt>
                <c:pt idx="69">
                  <c:v>4.6180446967383055</c:v>
                </c:pt>
                <c:pt idx="70">
                  <c:v>4.9348687849696571</c:v>
                </c:pt>
                <c:pt idx="71">
                  <c:v>5.2173441522665414</c:v>
                </c:pt>
                <c:pt idx="72">
                  <c:v>5.4641544026428859</c:v>
                </c:pt>
                <c:pt idx="73">
                  <c:v>5.674219334068348</c:v>
                </c:pt>
                <c:pt idx="74">
                  <c:v>5.8466986744970448</c:v>
                </c:pt>
                <c:pt idx="75">
                  <c:v>5.9809942923308466</c:v>
                </c:pt>
                <c:pt idx="76">
                  <c:v>6.0767508865748416</c:v>
                </c:pt>
                <c:pt idx="77">
                  <c:v>6.1338551712510334</c:v>
                </c:pt>
                <c:pt idx="78">
                  <c:v>6.1524335777399148</c:v>
                </c:pt>
                <c:pt idx="79">
                  <c:v>6.1328485075643364</c:v>
                </c:pt>
                <c:pt idx="80">
                  <c:v>6.0756931766649993</c:v>
                </c:pt>
                <c:pt idx="81">
                  <c:v>5.9817851003929867</c:v>
                </c:pt>
                <c:pt idx="82">
                  <c:v>5.8521582762161861</c:v>
                </c:pt>
                <c:pt idx="83">
                  <c:v>5.6880541284601644</c:v>
                </c:pt>
                <c:pt idx="84">
                  <c:v>5.4909112862406166</c:v>
                </c:pt>
                <c:pt idx="85">
                  <c:v>5.262354272057685</c:v>
                </c:pt>
                <c:pt idx="86">
                  <c:v>5.0041811842797088</c:v>
                </c:pt>
                <c:pt idx="87">
                  <c:v>4.7183504619170318</c:v>
                </c:pt>
                <c:pt idx="88">
                  <c:v>4.4069668246501559</c:v>
                </c:pt>
                <c:pt idx="89">
                  <c:v>4.0722664850108954</c:v>
                </c:pt>
                <c:pt idx="90">
                  <c:v>3.716601732903019</c:v>
                </c:pt>
                <c:pt idx="91">
                  <c:v>3.3424249952786003</c:v>
                </c:pt>
                <c:pt idx="92">
                  <c:v>2.9522724757493251</c:v>
                </c:pt>
                <c:pt idx="93">
                  <c:v>2.5487474802048835</c:v>
                </c:pt>
                <c:pt idx="94">
                  <c:v>2.1345035351332964</c:v>
                </c:pt>
                <c:pt idx="95">
                  <c:v>1.7122274052952751</c:v>
                </c:pt>
                <c:pt idx="96">
                  <c:v>1.2846221167049858</c:v>
                </c:pt>
                <c:pt idx="97">
                  <c:v>0.85439008952502071</c:v>
                </c:pt>
                <c:pt idx="98">
                  <c:v>0.42421648351086105</c:v>
                </c:pt>
                <c:pt idx="99">
                  <c:v>-3.2471439411665415E-3</c:v>
                </c:pt>
                <c:pt idx="100">
                  <c:v>-0.42539877025443396</c:v>
                </c:pt>
                <c:pt idx="101">
                  <c:v>-0.83970133747722286</c:v>
                </c:pt>
                <c:pt idx="102">
                  <c:v>-1.2436975905214602</c:v>
                </c:pt>
                <c:pt idx="103">
                  <c:v>-1.6350242396717363</c:v>
                </c:pt>
                <c:pt idx="104">
                  <c:v>-2.0114253684096877</c:v>
                </c:pt>
                <c:pt idx="105">
                  <c:v>-2.3707650132294127</c:v>
                </c:pt>
                <c:pt idx="106">
                  <c:v>-2.7110388481323682</c:v>
                </c:pt>
                <c:pt idx="107">
                  <c:v>-3.0303849128438287</c:v>
                </c:pt>
                <c:pt idx="108">
                  <c:v>-3.3270933304437342</c:v>
                </c:pt>
                <c:pt idx="109">
                  <c:v>-3.5996149670076623</c:v>
                </c:pt>
                <c:pt idx="110">
                  <c:v>-3.8465689929640572</c:v>
                </c:pt>
                <c:pt idx="111">
                  <c:v>-4.0667493131439283</c:v>
                </c:pt>
                <c:pt idx="112">
                  <c:v>-4.2591298398835331</c:v>
                </c:pt>
                <c:pt idx="113">
                  <c:v>-4.4228685909910244</c:v>
                </c:pt>
                <c:pt idx="114">
                  <c:v>-4.5573106018587861</c:v>
                </c:pt>
                <c:pt idx="115">
                  <c:v>-4.6619896484473724</c:v>
                </c:pt>
                <c:pt idx="116">
                  <c:v>-4.7366287852391356</c:v>
                </c:pt>
                <c:pt idx="117">
                  <c:v>-4.7811397095153403</c:v>
                </c:pt>
                <c:pt idx="118">
                  <c:v>-4.795620970406496</c:v>
                </c:pt>
                <c:pt idx="119">
                  <c:v>-4.7803550480598034</c:v>
                </c:pt>
                <c:pt idx="120">
                  <c:v>-4.7358043349203491</c:v>
                </c:pt>
                <c:pt idx="121">
                  <c:v>-4.6626060574956156</c:v>
                </c:pt>
                <c:pt idx="122">
                  <c:v>-4.5615661830305481</c:v>
                </c:pt>
                <c:pt idx="123">
                  <c:v>-4.4336523612288978</c:v>
                </c:pt>
                <c:pt idx="124">
                  <c:v>-4.2799859564855325</c:v>
                </c:pt>
                <c:pt idx="125">
                  <c:v>-4.1018332310152523</c:v>
                </c:pt>
                <c:pt idx="126">
                  <c:v>-3.9005957437513104</c:v>
                </c:pt>
                <c:pt idx="127">
                  <c:v>-3.6778000339189632</c:v>
                </c:pt>
                <c:pt idx="128">
                  <c:v>-3.4350866617467979</c:v>
                </c:pt>
                <c:pt idx="129">
                  <c:v>-3.1741986818450503</c:v>
                </c:pt>
                <c:pt idx="130">
                  <c:v>-2.8969696273430845</c:v>
                </c:pt>
                <c:pt idx="131">
                  <c:v>-2.6053110849278802</c:v>
                </c:pt>
                <c:pt idx="132">
                  <c:v>-2.3011999424555629</c:v>
                </c:pt>
                <c:pt idx="133">
                  <c:v>-1.9866653918156825</c:v>
                </c:pt>
                <c:pt idx="134">
                  <c:v>-1.663775770213455</c:v>
                </c:pt>
                <c:pt idx="135">
                  <c:v>-1.3346253230017666</c:v>
                </c:pt>
                <c:pt idx="136">
                  <c:v>-1.0013209706492798</c:v>
                </c:pt>
                <c:pt idx="137">
                  <c:v>-0.66596916138315265</c:v>
                </c:pt>
                <c:pt idx="138">
                  <c:v>-0.33066288950712064</c:v>
                </c:pt>
                <c:pt idx="139">
                  <c:v>2.5310426162405975E-3</c:v>
                </c:pt>
                <c:pt idx="140">
                  <c:v>0.3315844433979791</c:v>
                </c:pt>
                <c:pt idx="141">
                  <c:v>0.65451975905183701</c:v>
                </c:pt>
                <c:pt idx="142">
                  <c:v>0.96942163951655758</c:v>
                </c:pt>
                <c:pt idx="143">
                  <c:v>1.2744479776689754</c:v>
                </c:pt>
                <c:pt idx="144">
                  <c:v>1.5678403602850715</c:v>
                </c:pt>
                <c:pt idx="145">
                  <c:v>1.8479338735951156</c:v>
                </c:pt>
                <c:pt idx="146">
                  <c:v>2.113166210965689</c:v>
                </c:pt>
                <c:pt idx="147">
                  <c:v>2.362086035193947</c:v>
                </c:pt>
                <c:pt idx="148">
                  <c:v>2.5933605530833228</c:v>
                </c:pt>
                <c:pt idx="149">
                  <c:v>2.8057822653508024</c:v>
                </c:pt>
                <c:pt idx="150">
                  <c:v>2.9982748604578253</c:v>
                </c:pt>
                <c:pt idx="151">
                  <c:v>3.1698982266239728</c:v>
                </c:pt>
                <c:pt idx="152">
                  <c:v>3.3198525620382195</c:v>
                </c:pt>
                <c:pt idx="153">
                  <c:v>3.4474815690900389</c:v>
                </c:pt>
                <c:pt idx="154">
                  <c:v>3.552274724265855</c:v>
                </c:pt>
                <c:pt idx="155">
                  <c:v>3.6338686211587232</c:v>
                </c:pt>
                <c:pt idx="156">
                  <c:v>3.6920473897856017</c:v>
                </c:pt>
                <c:pt idx="157">
                  <c:v>3.7267422010621338</c:v>
                </c:pt>
                <c:pt idx="158">
                  <c:v>3.7380298708158985</c:v>
                </c:pt>
                <c:pt idx="159">
                  <c:v>3.7261305830928597</c:v>
                </c:pt>
                <c:pt idx="160">
                  <c:v>3.6914047576973301</c:v>
                </c:pt>
                <c:pt idx="161">
                  <c:v>3.6343490918733572</c:v>
                </c:pt>
                <c:pt idx="162">
                  <c:v>3.5555918107569706</c:v>
                </c:pt>
                <c:pt idx="163">
                  <c:v>3.4558871656785879</c:v>
                </c:pt>
                <c:pt idx="164">
                  <c:v>3.3361092235484104</c:v>
                </c:pt>
                <c:pt idx="165">
                  <c:v>3.1972449943933832</c:v>
                </c:pt>
                <c:pt idx="166">
                  <c:v>3.0403869476122551</c:v>
                </c:pt>
                <c:pt idx="167">
                  <c:v>2.8667249706582307</c:v>
                </c:pt>
                <c:pt idx="168">
                  <c:v>2.6775378266314727</c:v>
                </c:pt>
                <c:pt idx="169">
                  <c:v>2.4741841696540909</c:v>
                </c:pt>
                <c:pt idx="170">
                  <c:v>2.2580931788978766</c:v>
                </c:pt>
                <c:pt idx="171">
                  <c:v>2.0307548737327252</c:v>
                </c:pt>
                <c:pt idx="172">
                  <c:v>1.7937101736564518</c:v>
                </c:pt>
                <c:pt idx="173">
                  <c:v>1.5485407674521348</c:v>
                </c:pt>
                <c:pt idx="174">
                  <c:v>1.2968588563975079</c:v>
                </c:pt>
                <c:pt idx="175">
                  <c:v>1.0402968363249698</c:v>
                </c:pt>
                <c:pt idx="176">
                  <c:v>0.78049698290558212</c:v>
                </c:pt>
                <c:pt idx="177">
                  <c:v>0.51910120371357316</c:v>
                </c:pt>
                <c:pt idx="178">
                  <c:v>0.25774091942940913</c:v>
                </c:pt>
                <c:pt idx="179">
                  <c:v>-1.9728650288666216E-3</c:v>
                </c:pt>
                <c:pt idx="180">
                  <c:v>-0.25845924057981584</c:v>
                </c:pt>
                <c:pt idx="181">
                  <c:v>-0.51017676865484063</c:v>
                </c:pt>
                <c:pt idx="182">
                  <c:v>-0.75563249645674624</c:v>
                </c:pt>
                <c:pt idx="183">
                  <c:v>-0.99339056166569151</c:v>
                </c:pt>
                <c:pt idx="184">
                  <c:v>-1.2220803386219039</c:v>
                </c:pt>
                <c:pt idx="185">
                  <c:v>-1.4404040814355366</c:v>
                </c:pt>
                <c:pt idx="186">
                  <c:v>-1.6471440231272769</c:v>
                </c:pt>
                <c:pt idx="187">
                  <c:v>-1.8411688937634985</c:v>
                </c:pt>
                <c:pt idx="188">
                  <c:v>-2.0214398245905691</c:v>
                </c:pt>
                <c:pt idx="189">
                  <c:v>-2.1870156093670658</c:v>
                </c:pt>
                <c:pt idx="190">
                  <c:v>-2.3370572984123754</c:v>
                </c:pt>
                <c:pt idx="191">
                  <c:v>-2.4708321053076414</c:v>
                </c:pt>
                <c:pt idx="192">
                  <c:v>-2.5877166106711353</c:v>
                </c:pt>
                <c:pt idx="193">
                  <c:v>-2.6871992519570664</c:v>
                </c:pt>
                <c:pt idx="194">
                  <c:v>-2.7688820927656934</c:v>
                </c:pt>
                <c:pt idx="195">
                  <c:v>-2.8324818696754903</c:v>
                </c:pt>
                <c:pt idx="196">
                  <c:v>-2.8778303190872663</c:v>
                </c:pt>
                <c:pt idx="197">
                  <c:v>-2.9048737909784528</c:v>
                </c:pt>
                <c:pt idx="198">
                  <c:v>-2.9136721607770308</c:v>
                </c:pt>
                <c:pt idx="199">
                  <c:v>-2.9043970547532911</c:v>
                </c:pt>
                <c:pt idx="200">
                  <c:v>-2.8773294083695848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9C-4EB9-AA98-992E28CC9579}"/>
            </c:ext>
          </c:extLst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2.491445035609858E-5</c:v>
                </c:pt>
                <c:pt idx="2">
                  <c:v>4.982890071219716E-5</c:v>
                </c:pt>
                <c:pt idx="3">
                  <c:v>7.4743351068295744E-5</c:v>
                </c:pt>
                <c:pt idx="4">
                  <c:v>9.9657801424394321E-5</c:v>
                </c:pt>
                <c:pt idx="5">
                  <c:v>1.245722517804929E-4</c:v>
                </c:pt>
                <c:pt idx="6">
                  <c:v>1.4948670213659149E-4</c:v>
                </c:pt>
                <c:pt idx="7">
                  <c:v>1.7440115249269008E-4</c:v>
                </c:pt>
                <c:pt idx="8">
                  <c:v>1.9931560284878867E-4</c:v>
                </c:pt>
                <c:pt idx="9">
                  <c:v>2.2423005320488726E-4</c:v>
                </c:pt>
                <c:pt idx="10">
                  <c:v>2.4914450356098585E-4</c:v>
                </c:pt>
                <c:pt idx="11">
                  <c:v>2.7405895391708441E-4</c:v>
                </c:pt>
                <c:pt idx="12">
                  <c:v>2.9897340427318298E-4</c:v>
                </c:pt>
                <c:pt idx="13">
                  <c:v>3.2388785462928154E-4</c:v>
                </c:pt>
                <c:pt idx="14">
                  <c:v>3.488023049853801E-4</c:v>
                </c:pt>
                <c:pt idx="15">
                  <c:v>3.7371675534147867E-4</c:v>
                </c:pt>
                <c:pt idx="16">
                  <c:v>3.9863120569757723E-4</c:v>
                </c:pt>
                <c:pt idx="17">
                  <c:v>4.2354565605367579E-4</c:v>
                </c:pt>
                <c:pt idx="18">
                  <c:v>4.4846010640977436E-4</c:v>
                </c:pt>
                <c:pt idx="19">
                  <c:v>4.7337455676587292E-4</c:v>
                </c:pt>
                <c:pt idx="20">
                  <c:v>4.9828900712197148E-4</c:v>
                </c:pt>
                <c:pt idx="21">
                  <c:v>5.2320345747807005E-4</c:v>
                </c:pt>
                <c:pt idx="22">
                  <c:v>5.4811790783416861E-4</c:v>
                </c:pt>
                <c:pt idx="23">
                  <c:v>5.7303235819026717E-4</c:v>
                </c:pt>
                <c:pt idx="24">
                  <c:v>5.9794680854636574E-4</c:v>
                </c:pt>
                <c:pt idx="25">
                  <c:v>6.228612589024643E-4</c:v>
                </c:pt>
                <c:pt idx="26">
                  <c:v>6.4777570925856286E-4</c:v>
                </c:pt>
                <c:pt idx="27">
                  <c:v>6.7269015961466143E-4</c:v>
                </c:pt>
                <c:pt idx="28">
                  <c:v>6.9760460997075999E-4</c:v>
                </c:pt>
                <c:pt idx="29">
                  <c:v>7.2251906032685855E-4</c:v>
                </c:pt>
                <c:pt idx="30">
                  <c:v>7.4743351068295712E-4</c:v>
                </c:pt>
                <c:pt idx="31">
                  <c:v>7.7234796103905568E-4</c:v>
                </c:pt>
                <c:pt idx="32">
                  <c:v>7.9726241139515424E-4</c:v>
                </c:pt>
                <c:pt idx="33">
                  <c:v>8.221768617512528E-4</c:v>
                </c:pt>
                <c:pt idx="34">
                  <c:v>8.4709131210735137E-4</c:v>
                </c:pt>
                <c:pt idx="35">
                  <c:v>8.7200576246344993E-4</c:v>
                </c:pt>
                <c:pt idx="36">
                  <c:v>8.9692021281954849E-4</c:v>
                </c:pt>
                <c:pt idx="37">
                  <c:v>9.2183466317564706E-4</c:v>
                </c:pt>
                <c:pt idx="38">
                  <c:v>9.4674911353174562E-4</c:v>
                </c:pt>
                <c:pt idx="39">
                  <c:v>9.7166356388784418E-4</c:v>
                </c:pt>
                <c:pt idx="40">
                  <c:v>9.9657801424394275E-4</c:v>
                </c:pt>
                <c:pt idx="41">
                  <c:v>1.0214924646000413E-3</c:v>
                </c:pt>
                <c:pt idx="42">
                  <c:v>1.0464069149561399E-3</c:v>
                </c:pt>
                <c:pt idx="43">
                  <c:v>1.0713213653122384E-3</c:v>
                </c:pt>
                <c:pt idx="44">
                  <c:v>1.096235815668337E-3</c:v>
                </c:pt>
                <c:pt idx="45">
                  <c:v>1.1211502660244356E-3</c:v>
                </c:pt>
                <c:pt idx="46">
                  <c:v>1.1460647163805341E-3</c:v>
                </c:pt>
                <c:pt idx="47">
                  <c:v>1.1709791667366327E-3</c:v>
                </c:pt>
                <c:pt idx="48">
                  <c:v>1.1958936170927313E-3</c:v>
                </c:pt>
                <c:pt idx="49">
                  <c:v>1.2208080674488298E-3</c:v>
                </c:pt>
                <c:pt idx="50">
                  <c:v>1.2457225178049284E-3</c:v>
                </c:pt>
                <c:pt idx="51">
                  <c:v>1.2706369681610269E-3</c:v>
                </c:pt>
                <c:pt idx="52">
                  <c:v>1.2955514185171255E-3</c:v>
                </c:pt>
                <c:pt idx="53">
                  <c:v>1.3204658688732241E-3</c:v>
                </c:pt>
                <c:pt idx="54">
                  <c:v>1.3453803192293226E-3</c:v>
                </c:pt>
                <c:pt idx="55">
                  <c:v>1.3702947695854212E-3</c:v>
                </c:pt>
                <c:pt idx="56">
                  <c:v>1.3952092199415198E-3</c:v>
                </c:pt>
                <c:pt idx="57">
                  <c:v>1.4201236702976183E-3</c:v>
                </c:pt>
                <c:pt idx="58">
                  <c:v>1.4450381206537169E-3</c:v>
                </c:pt>
                <c:pt idx="59">
                  <c:v>1.4699525710098155E-3</c:v>
                </c:pt>
                <c:pt idx="60">
                  <c:v>1.494867021365914E-3</c:v>
                </c:pt>
                <c:pt idx="61">
                  <c:v>1.5197814717220126E-3</c:v>
                </c:pt>
                <c:pt idx="62">
                  <c:v>1.5446959220781111E-3</c:v>
                </c:pt>
                <c:pt idx="63">
                  <c:v>1.5696103724342097E-3</c:v>
                </c:pt>
                <c:pt idx="64">
                  <c:v>1.5945248227903083E-3</c:v>
                </c:pt>
                <c:pt idx="65">
                  <c:v>1.6194392731464068E-3</c:v>
                </c:pt>
                <c:pt idx="66">
                  <c:v>1.6443537235025054E-3</c:v>
                </c:pt>
                <c:pt idx="67">
                  <c:v>1.669268173858604E-3</c:v>
                </c:pt>
                <c:pt idx="68">
                  <c:v>1.6941826242147025E-3</c:v>
                </c:pt>
                <c:pt idx="69">
                  <c:v>1.7190970745708011E-3</c:v>
                </c:pt>
                <c:pt idx="70">
                  <c:v>1.7440115249268996E-3</c:v>
                </c:pt>
                <c:pt idx="71">
                  <c:v>1.7689259752829982E-3</c:v>
                </c:pt>
                <c:pt idx="72">
                  <c:v>1.7938404256390968E-3</c:v>
                </c:pt>
                <c:pt idx="73">
                  <c:v>1.8187548759951953E-3</c:v>
                </c:pt>
                <c:pt idx="74">
                  <c:v>1.8436693263512939E-3</c:v>
                </c:pt>
                <c:pt idx="75">
                  <c:v>1.8685837767073925E-3</c:v>
                </c:pt>
                <c:pt idx="76">
                  <c:v>1.893498227063491E-3</c:v>
                </c:pt>
                <c:pt idx="77">
                  <c:v>1.9184126774195896E-3</c:v>
                </c:pt>
                <c:pt idx="78">
                  <c:v>1.9433271277756882E-3</c:v>
                </c:pt>
                <c:pt idx="79">
                  <c:v>1.9682415781317867E-3</c:v>
                </c:pt>
                <c:pt idx="80">
                  <c:v>1.9931560284878855E-3</c:v>
                </c:pt>
                <c:pt idx="81">
                  <c:v>2.0180704788439843E-3</c:v>
                </c:pt>
                <c:pt idx="82">
                  <c:v>2.0429849292000831E-3</c:v>
                </c:pt>
                <c:pt idx="83">
                  <c:v>2.0678993795561818E-3</c:v>
                </c:pt>
                <c:pt idx="84">
                  <c:v>2.0928138299122806E-3</c:v>
                </c:pt>
                <c:pt idx="85">
                  <c:v>2.1177282802683794E-3</c:v>
                </c:pt>
                <c:pt idx="86">
                  <c:v>2.1426427306244782E-3</c:v>
                </c:pt>
                <c:pt idx="87">
                  <c:v>2.167557180980577E-3</c:v>
                </c:pt>
                <c:pt idx="88">
                  <c:v>2.1924716313366757E-3</c:v>
                </c:pt>
                <c:pt idx="89">
                  <c:v>2.2173860816927745E-3</c:v>
                </c:pt>
                <c:pt idx="90">
                  <c:v>2.2423005320488733E-3</c:v>
                </c:pt>
                <c:pt idx="91">
                  <c:v>2.2672149824049721E-3</c:v>
                </c:pt>
                <c:pt idx="92">
                  <c:v>2.2921294327610709E-3</c:v>
                </c:pt>
                <c:pt idx="93">
                  <c:v>2.3170438831171696E-3</c:v>
                </c:pt>
                <c:pt idx="94">
                  <c:v>2.3419583334732684E-3</c:v>
                </c:pt>
                <c:pt idx="95">
                  <c:v>2.3668727838293672E-3</c:v>
                </c:pt>
                <c:pt idx="96">
                  <c:v>2.391787234185466E-3</c:v>
                </c:pt>
                <c:pt idx="97">
                  <c:v>2.4167016845415648E-3</c:v>
                </c:pt>
                <c:pt idx="98">
                  <c:v>2.4416161348976635E-3</c:v>
                </c:pt>
                <c:pt idx="99">
                  <c:v>2.4665305852537623E-3</c:v>
                </c:pt>
                <c:pt idx="100">
                  <c:v>2.4914450356098611E-3</c:v>
                </c:pt>
                <c:pt idx="101">
                  <c:v>2.5163594859659599E-3</c:v>
                </c:pt>
                <c:pt idx="102">
                  <c:v>2.5412739363220587E-3</c:v>
                </c:pt>
                <c:pt idx="103">
                  <c:v>2.5661883866781574E-3</c:v>
                </c:pt>
                <c:pt idx="104">
                  <c:v>2.5911028370342562E-3</c:v>
                </c:pt>
                <c:pt idx="105">
                  <c:v>2.616017287390355E-3</c:v>
                </c:pt>
                <c:pt idx="106">
                  <c:v>2.6409317377464538E-3</c:v>
                </c:pt>
                <c:pt idx="107">
                  <c:v>2.6658461881025526E-3</c:v>
                </c:pt>
                <c:pt idx="108">
                  <c:v>2.6907606384586513E-3</c:v>
                </c:pt>
                <c:pt idx="109">
                  <c:v>2.7156750888147501E-3</c:v>
                </c:pt>
                <c:pt idx="110">
                  <c:v>2.7405895391708489E-3</c:v>
                </c:pt>
                <c:pt idx="111">
                  <c:v>2.7655039895269477E-3</c:v>
                </c:pt>
                <c:pt idx="112">
                  <c:v>2.7904184398830465E-3</c:v>
                </c:pt>
                <c:pt idx="113">
                  <c:v>2.8153328902391452E-3</c:v>
                </c:pt>
                <c:pt idx="114">
                  <c:v>2.840247340595244E-3</c:v>
                </c:pt>
                <c:pt idx="115">
                  <c:v>2.8651617909513428E-3</c:v>
                </c:pt>
                <c:pt idx="116">
                  <c:v>2.8900762413074416E-3</c:v>
                </c:pt>
                <c:pt idx="117">
                  <c:v>2.9149906916635404E-3</c:v>
                </c:pt>
                <c:pt idx="118">
                  <c:v>2.9399051420196391E-3</c:v>
                </c:pt>
                <c:pt idx="119">
                  <c:v>2.9648195923757379E-3</c:v>
                </c:pt>
                <c:pt idx="120">
                  <c:v>2.9897340427318367E-3</c:v>
                </c:pt>
                <c:pt idx="121">
                  <c:v>3.0146484930879355E-3</c:v>
                </c:pt>
                <c:pt idx="122">
                  <c:v>3.0395629434440343E-3</c:v>
                </c:pt>
                <c:pt idx="123">
                  <c:v>3.064477393800133E-3</c:v>
                </c:pt>
                <c:pt idx="124">
                  <c:v>3.0893918441562318E-3</c:v>
                </c:pt>
                <c:pt idx="125">
                  <c:v>3.1143062945123306E-3</c:v>
                </c:pt>
                <c:pt idx="126">
                  <c:v>3.1392207448684294E-3</c:v>
                </c:pt>
                <c:pt idx="127">
                  <c:v>3.1641351952245282E-3</c:v>
                </c:pt>
                <c:pt idx="128">
                  <c:v>3.1890496455806269E-3</c:v>
                </c:pt>
                <c:pt idx="129">
                  <c:v>3.2139640959367257E-3</c:v>
                </c:pt>
                <c:pt idx="130">
                  <c:v>3.2388785462928245E-3</c:v>
                </c:pt>
                <c:pt idx="131">
                  <c:v>3.2637929966489233E-3</c:v>
                </c:pt>
                <c:pt idx="132">
                  <c:v>3.2887074470050221E-3</c:v>
                </c:pt>
                <c:pt idx="133">
                  <c:v>3.3136218973611208E-3</c:v>
                </c:pt>
                <c:pt idx="134">
                  <c:v>3.3385363477172196E-3</c:v>
                </c:pt>
                <c:pt idx="135">
                  <c:v>3.3634507980733184E-3</c:v>
                </c:pt>
                <c:pt idx="136">
                  <c:v>3.3883652484294172E-3</c:v>
                </c:pt>
                <c:pt idx="137">
                  <c:v>3.413279698785516E-3</c:v>
                </c:pt>
                <c:pt idx="138">
                  <c:v>3.4381941491416147E-3</c:v>
                </c:pt>
                <c:pt idx="139">
                  <c:v>3.4631085994977135E-3</c:v>
                </c:pt>
                <c:pt idx="140">
                  <c:v>3.4880230498538123E-3</c:v>
                </c:pt>
                <c:pt idx="141">
                  <c:v>3.5129375002099111E-3</c:v>
                </c:pt>
                <c:pt idx="142">
                  <c:v>3.5378519505660099E-3</c:v>
                </c:pt>
                <c:pt idx="143">
                  <c:v>3.5627664009221086E-3</c:v>
                </c:pt>
                <c:pt idx="144">
                  <c:v>3.5876808512782074E-3</c:v>
                </c:pt>
                <c:pt idx="145">
                  <c:v>3.6125953016343062E-3</c:v>
                </c:pt>
                <c:pt idx="146">
                  <c:v>3.637509751990405E-3</c:v>
                </c:pt>
                <c:pt idx="147">
                  <c:v>3.6624242023465038E-3</c:v>
                </c:pt>
                <c:pt idx="148">
                  <c:v>3.6873386527026025E-3</c:v>
                </c:pt>
                <c:pt idx="149">
                  <c:v>3.7122531030587013E-3</c:v>
                </c:pt>
                <c:pt idx="150">
                  <c:v>3.7371675534148001E-3</c:v>
                </c:pt>
                <c:pt idx="151">
                  <c:v>3.7620820037708989E-3</c:v>
                </c:pt>
                <c:pt idx="152">
                  <c:v>3.7869964541269977E-3</c:v>
                </c:pt>
                <c:pt idx="153">
                  <c:v>3.8119109044830964E-3</c:v>
                </c:pt>
                <c:pt idx="154">
                  <c:v>3.8368253548391952E-3</c:v>
                </c:pt>
                <c:pt idx="155">
                  <c:v>3.861739805195294E-3</c:v>
                </c:pt>
                <c:pt idx="156">
                  <c:v>3.8866542555513928E-3</c:v>
                </c:pt>
                <c:pt idx="157">
                  <c:v>3.9115687059074911E-3</c:v>
                </c:pt>
                <c:pt idx="158">
                  <c:v>3.9364831562635899E-3</c:v>
                </c:pt>
                <c:pt idx="159">
                  <c:v>3.9613976066196887E-3</c:v>
                </c:pt>
                <c:pt idx="160">
                  <c:v>3.9863120569757875E-3</c:v>
                </c:pt>
                <c:pt idx="161">
                  <c:v>4.0112265073318863E-3</c:v>
                </c:pt>
                <c:pt idx="162">
                  <c:v>4.036140957687985E-3</c:v>
                </c:pt>
                <c:pt idx="163">
                  <c:v>4.0610554080440838E-3</c:v>
                </c:pt>
                <c:pt idx="164">
                  <c:v>4.0859698584001826E-3</c:v>
                </c:pt>
                <c:pt idx="165">
                  <c:v>4.1108843087562814E-3</c:v>
                </c:pt>
                <c:pt idx="166">
                  <c:v>4.1357987591123802E-3</c:v>
                </c:pt>
                <c:pt idx="167">
                  <c:v>4.1607132094684789E-3</c:v>
                </c:pt>
                <c:pt idx="168">
                  <c:v>4.1856276598245777E-3</c:v>
                </c:pt>
                <c:pt idx="169">
                  <c:v>4.2105421101806765E-3</c:v>
                </c:pt>
                <c:pt idx="170">
                  <c:v>4.2354565605367753E-3</c:v>
                </c:pt>
                <c:pt idx="171">
                  <c:v>4.2603710108928741E-3</c:v>
                </c:pt>
                <c:pt idx="172">
                  <c:v>4.2852854612489728E-3</c:v>
                </c:pt>
                <c:pt idx="173">
                  <c:v>4.3101999116050716E-3</c:v>
                </c:pt>
                <c:pt idx="174">
                  <c:v>4.3351143619611704E-3</c:v>
                </c:pt>
                <c:pt idx="175">
                  <c:v>4.3600288123172692E-3</c:v>
                </c:pt>
                <c:pt idx="176">
                  <c:v>4.384943262673368E-3</c:v>
                </c:pt>
                <c:pt idx="177">
                  <c:v>4.4098577130294667E-3</c:v>
                </c:pt>
                <c:pt idx="178">
                  <c:v>4.4347721633855655E-3</c:v>
                </c:pt>
                <c:pt idx="179">
                  <c:v>4.4596866137416643E-3</c:v>
                </c:pt>
                <c:pt idx="180">
                  <c:v>4.4846010640977631E-3</c:v>
                </c:pt>
                <c:pt idx="181">
                  <c:v>4.5095155144538619E-3</c:v>
                </c:pt>
                <c:pt idx="182">
                  <c:v>4.5344299648099606E-3</c:v>
                </c:pt>
                <c:pt idx="183">
                  <c:v>4.5593444151660594E-3</c:v>
                </c:pt>
                <c:pt idx="184">
                  <c:v>4.5842588655221582E-3</c:v>
                </c:pt>
                <c:pt idx="185">
                  <c:v>4.609173315878257E-3</c:v>
                </c:pt>
                <c:pt idx="186">
                  <c:v>4.6340877662343558E-3</c:v>
                </c:pt>
                <c:pt idx="187">
                  <c:v>4.6590022165904545E-3</c:v>
                </c:pt>
                <c:pt idx="188">
                  <c:v>4.6839166669465533E-3</c:v>
                </c:pt>
                <c:pt idx="189">
                  <c:v>4.7088311173026521E-3</c:v>
                </c:pt>
                <c:pt idx="190">
                  <c:v>4.7337455676587509E-3</c:v>
                </c:pt>
                <c:pt idx="191">
                  <c:v>4.7586600180148497E-3</c:v>
                </c:pt>
                <c:pt idx="192">
                  <c:v>4.7835744683709484E-3</c:v>
                </c:pt>
                <c:pt idx="193">
                  <c:v>4.8084889187270472E-3</c:v>
                </c:pt>
                <c:pt idx="194">
                  <c:v>4.833403369083146E-3</c:v>
                </c:pt>
                <c:pt idx="195">
                  <c:v>4.8583178194392448E-3</c:v>
                </c:pt>
                <c:pt idx="196">
                  <c:v>4.8832322697953436E-3</c:v>
                </c:pt>
                <c:pt idx="197">
                  <c:v>4.9081467201514423E-3</c:v>
                </c:pt>
                <c:pt idx="198">
                  <c:v>4.9330611705075411E-3</c:v>
                </c:pt>
                <c:pt idx="199">
                  <c:v>4.9579756208636399E-3</c:v>
                </c:pt>
                <c:pt idx="200">
                  <c:v>4.9828900712197387E-3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0</c:v>
                </c:pt>
                <c:pt idx="1">
                  <c:v>3.089204465565043E-2</c:v>
                </c:pt>
                <c:pt idx="2">
                  <c:v>0.12286723162626023</c:v>
                </c:pt>
                <c:pt idx="3">
                  <c:v>0.27460227165374884</c:v>
                </c:pt>
                <c:pt idx="4">
                  <c:v>0.48442180207737273</c:v>
                </c:pt>
                <c:pt idx="5">
                  <c:v>0.75031307511148726</c:v>
                </c:pt>
                <c:pt idx="6">
                  <c:v>1.0699425444665889</c:v>
                </c:pt>
                <c:pt idx="7">
                  <c:v>1.4406742245456838</c:v>
                </c:pt>
                <c:pt idx="8">
                  <c:v>1.8595896870759943</c:v>
                </c:pt>
                <c:pt idx="9">
                  <c:v>2.3235095516133342</c:v>
                </c:pt>
                <c:pt idx="10">
                  <c:v>2.8290163189230677</c:v>
                </c:pt>
                <c:pt idx="11">
                  <c:v>3.372478389831306</c:v>
                </c:pt>
                <c:pt idx="12">
                  <c:v>3.9500751067795257</c:v>
                </c:pt>
                <c:pt idx="13">
                  <c:v>4.557822651025214</c:v>
                </c:pt>
                <c:pt idx="14">
                  <c:v>5.1916006252238089</c:v>
                </c:pt>
                <c:pt idx="15">
                  <c:v>5.8471791490092055</c:v>
                </c:pt>
                <c:pt idx="16">
                  <c:v>6.5202462941612662</c:v>
                </c:pt>
                <c:pt idx="17">
                  <c:v>7.2064356860019068</c:v>
                </c:pt>
                <c:pt idx="18">
                  <c:v>7.9013540987824706</c:v>
                </c:pt>
                <c:pt idx="19">
                  <c:v>8.6006088749945668</c:v>
                </c:pt>
                <c:pt idx="20">
                  <c:v>9.2998350017275122</c:v>
                </c:pt>
                <c:pt idx="21">
                  <c:v>9.9947216813760136</c:v>
                </c:pt>
                <c:pt idx="22">
                  <c:v>10.681038239133507</c:v>
                </c:pt>
                <c:pt idx="23">
                  <c:v>11.354659215746345</c:v>
                </c:pt>
                <c:pt idx="24">
                  <c:v>12.011588500903244</c:v>
                </c:pt>
                <c:pt idx="25">
                  <c:v>12.647982370339928</c:v>
                </c:pt>
                <c:pt idx="26">
                  <c:v>13.260171298193242</c:v>
                </c:pt>
                <c:pt idx="27">
                  <c:v>13.844680425280739</c:v>
                </c:pt>
                <c:pt idx="28">
                  <c:v>14.398248573745933</c:v>
                </c:pt>
                <c:pt idx="29">
                  <c:v>14.917845708828434</c:v>
                </c:pt>
                <c:pt idx="30">
                  <c:v>15.400688759321028</c:v>
                </c:pt>
                <c:pt idx="31">
                  <c:v>15.844255719490459</c:v>
                </c:pt>
                <c:pt idx="32">
                  <c:v>16.246297966790362</c:v>
                </c:pt>
                <c:pt idx="33">
                  <c:v>16.604850741508692</c:v>
                </c:pt>
                <c:pt idx="34">
                  <c:v>16.918241746491379</c:v>
                </c:pt>
                <c:pt idx="35">
                  <c:v>17.185097837193108</c:v>
                </c:pt>
                <c:pt idx="36">
                  <c:v>17.404349784448669</c:v>
                </c:pt>
                <c:pt idx="37">
                  <c:v>17.575235104459161</c:v>
                </c:pt>
                <c:pt idx="38">
                  <c:v>17.697298962472225</c:v>
                </c:pt>
                <c:pt idx="39">
                  <c:v>17.770393168432207</c:v>
                </c:pt>
                <c:pt idx="40">
                  <c:v>17.794673294413947</c:v>
                </c:pt>
                <c:pt idx="41">
                  <c:v>17.77059395486522</c:v>
                </c:pt>
                <c:pt idx="42">
                  <c:v>17.698902301502368</c:v>
                </c:pt>
                <c:pt idx="43">
                  <c:v>17.580629795069459</c:v>
                </c:pt>
                <c:pt idx="44">
                  <c:v>17.417082326025511</c:v>
                </c:pt>
                <c:pt idx="45">
                  <c:v>17.209828765511837</c:v>
                </c:pt>
                <c:pt idx="46">
                  <c:v>16.960688036622848</c:v>
                </c:pt>
                <c:pt idx="47">
                  <c:v>16.671714804012275</c:v>
                </c:pt>
                <c:pt idx="48">
                  <c:v>16.34518388717207</c:v>
                </c:pt>
                <c:pt idx="49">
                  <c:v>15.983573509286337</c:v>
                </c:pt>
                <c:pt idx="50">
                  <c:v>15.589547499356868</c:v>
                </c:pt>
                <c:pt idx="51">
                  <c:v>15.165936570293333</c:v>
                </c:pt>
                <c:pt idx="52">
                  <c:v>14.715718799839589</c:v>
                </c:pt>
                <c:pt idx="53">
                  <c:v>14.241999444551833</c:v>
                </c:pt>
                <c:pt idx="54">
                  <c:v>13.74799021954448</c:v>
                </c:pt>
                <c:pt idx="55">
                  <c:v>13.23698817837035</c:v>
                </c:pt>
                <c:pt idx="56">
                  <c:v>12.712354328203928</c:v>
                </c:pt>
                <c:pt idx="57">
                  <c:v>12.177492115454891</c:v>
                </c:pt>
                <c:pt idx="58">
                  <c:v>11.635825916065167</c:v>
                </c:pt>
                <c:pt idx="59">
                  <c:v>11.090779663051988</c:v>
                </c:pt>
                <c:pt idx="60">
                  <c:v>10.545755741371805</c:v>
                </c:pt>
                <c:pt idx="61">
                  <c:v>10.004114276921793</c:v>
                </c:pt>
                <c:pt idx="62">
                  <c:v>9.4691529424951462</c:v>
                </c:pt>
                <c:pt idx="63">
                  <c:v>8.9440873987990344</c:v>
                </c:pt>
                <c:pt idx="64">
                  <c:v>8.4320324832659459</c:v>
                </c:pt>
                <c:pt idx="65">
                  <c:v>7.9359842533832552</c:v>
                </c:pt>
                <c:pt idx="66">
                  <c:v>7.4588029846758435</c:v>
                </c:pt>
                <c:pt idx="67">
                  <c:v>7.003197216350828</c:v>
                </c:pt>
                <c:pt idx="68">
                  <c:v>6.5717089300028464</c:v>
                </c:pt>
                <c:pt idx="69">
                  <c:v>6.1666999387346877</c:v>
                </c:pt>
                <c:pt idx="70">
                  <c:v>5.790339555627888</c:v>
                </c:pt>
                <c:pt idx="71">
                  <c:v>5.444593601756182</c:v>
                </c:pt>
                <c:pt idx="72">
                  <c:v>5.1312148049307114</c:v>
                </c:pt>
                <c:pt idx="73">
                  <c:v>4.8517346311572132</c:v>
                </c:pt>
                <c:pt idx="74">
                  <c:v>4.6074565814324</c:v>
                </c:pt>
                <c:pt idx="75">
                  <c:v>4.3994509770679535</c:v>
                </c:pt>
                <c:pt idx="76">
                  <c:v>4.2285512472658349</c:v>
                </c:pt>
                <c:pt idx="77">
                  <c:v>4.0953517232365186</c:v>
                </c:pt>
                <c:pt idx="78">
                  <c:v>4.0002069338097588</c:v>
                </c:pt>
                <c:pt idx="79">
                  <c:v>3.9432323882924916</c:v>
                </c:pt>
                <c:pt idx="80">
                  <c:v>3.9243068233350042</c:v>
                </c:pt>
                <c:pt idx="81">
                  <c:v>3.94307588182776</c:v>
                </c:pt>
                <c:pt idx="82">
                  <c:v>3.9989571834177431</c:v>
                </c:pt>
                <c:pt idx="83">
                  <c:v>4.0911467381533413</c:v>
                </c:pt>
                <c:pt idx="84">
                  <c:v>4.2186266470859293</c:v>
                </c:pt>
                <c:pt idx="85">
                  <c:v>4.3801740264167428</c:v>
                </c:pt>
                <c:pt idx="86">
                  <c:v>4.5743710850189334</c:v>
                </c:pt>
                <c:pt idx="87">
                  <c:v>4.7996162789219454</c:v>
                </c:pt>
                <c:pt idx="88">
                  <c:v>5.0541364606514341</c:v>
                </c:pt>
                <c:pt idx="89">
                  <c:v>5.3359999362003228</c:v>
                </c:pt>
                <c:pt idx="90">
                  <c:v>5.6431303378905007</c:v>
                </c:pt>
                <c:pt idx="91">
                  <c:v>5.9733212174898451</c:v>
                </c:pt>
                <c:pt idx="92">
                  <c:v>6.3242512606924883</c:v>
                </c:pt>
                <c:pt idx="93">
                  <c:v>6.6935000214633353</c:v>
                </c:pt>
                <c:pt idx="94">
                  <c:v>7.0785640727992369</c:v>
                </c:pt>
                <c:pt idx="95">
                  <c:v>7.4768734691723466</c:v>
                </c:pt>
                <c:pt idx="96">
                  <c:v>7.8858084152961272</c:v>
                </c:pt>
                <c:pt idx="97">
                  <c:v>8.3027160358867391</c:v>
                </c:pt>
                <c:pt idx="98">
                  <c:v>8.7249271417737173</c:v>
                </c:pt>
                <c:pt idx="99">
                  <c:v>9.1497728890319436</c:v>
                </c:pt>
                <c:pt idx="100">
                  <c:v>9.5746012297456762</c:v>
                </c:pt>
                <c:pt idx="101">
                  <c:v>9.9967930555552584</c:v>
                </c:pt>
                <c:pt idx="102">
                  <c:v>10.413777938255199</c:v>
                </c:pt>
                <c:pt idx="103">
                  <c:v>10.823049375381705</c:v>
                </c:pt>
                <c:pt idx="104">
                  <c:v>11.222179452919622</c:v>
                </c:pt>
                <c:pt idx="105">
                  <c:v>11.608832841940412</c:v>
                </c:pt>
                <c:pt idx="106">
                  <c:v>11.980780051119247</c:v>
                </c:pt>
                <c:pt idx="107">
                  <c:v>12.335909862633637</c:v>
                </c:pt>
                <c:pt idx="108">
                  <c:v>12.672240884878541</c:v>
                </c:pt>
                <c:pt idx="109">
                  <c:v>12.987932161702078</c:v>
                </c:pt>
                <c:pt idx="110">
                  <c:v>13.281292784429874</c:v>
                </c:pt>
                <c:pt idx="111">
                  <c:v>13.550790459759414</c:v>
                </c:pt>
                <c:pt idx="112">
                  <c:v>13.795058993624515</c:v>
                </c:pt>
                <c:pt idx="113">
                  <c:v>14.012904658307558</c:v>
                </c:pt>
                <c:pt idx="114">
                  <c:v>14.203311417367704</c:v>
                </c:pt>
                <c:pt idx="115">
                  <c:v>14.365444990310493</c:v>
                </c:pt>
                <c:pt idx="116">
                  <c:v>14.498655746301603</c:v>
                </c:pt>
                <c:pt idx="117">
                  <c:v>14.602480423579591</c:v>
                </c:pt>
                <c:pt idx="118">
                  <c:v>14.676642678504322</c:v>
                </c:pt>
                <c:pt idx="119">
                  <c:v>14.721052475344793</c:v>
                </c:pt>
                <c:pt idx="120">
                  <c:v>14.735804334920367</c:v>
                </c:pt>
                <c:pt idx="121">
                  <c:v>14.721174467020878</c:v>
                </c:pt>
                <c:pt idx="122">
                  <c:v>14.677616818104816</c:v>
                </c:pt>
                <c:pt idx="123">
                  <c:v>14.605758072072661</c:v>
                </c:pt>
                <c:pt idx="124">
                  <c:v>14.506391647899534</c:v>
                </c:pt>
                <c:pt idx="125">
                  <c:v>14.380470743554278</c:v>
                </c:pt>
                <c:pt idx="126">
                  <c:v>14.22910048090025</c:v>
                </c:pt>
                <c:pt idx="127">
                  <c:v>14.053529211139153</c:v>
                </c:pt>
                <c:pt idx="128">
                  <c:v>13.855139044797522</c:v>
                </c:pt>
                <c:pt idx="129">
                  <c:v>13.635435674244354</c:v>
                </c:pt>
                <c:pt idx="130">
                  <c:v>13.396037560248644</c:v>
                </c:pt>
                <c:pt idx="131">
                  <c:v>13.13866455712143</c:v>
                </c:pt>
                <c:pt idx="132">
                  <c:v>12.865126053525511</c:v>
                </c:pt>
                <c:pt idx="133">
                  <c:v>12.577308708067909</c:v>
                </c:pt>
                <c:pt idx="134">
                  <c:v>12.277163860309219</c:v>
                </c:pt>
                <c:pt idx="135">
                  <c:v>11.966694698826856</c:v>
                </c:pt>
                <c:pt idx="136">
                  <c:v>11.647943268456494</c:v>
                </c:pt>
                <c:pt idx="137">
                  <c:v>11.322977398810961</c:v>
                </c:pt>
                <c:pt idx="138">
                  <c:v>10.993877635644738</c:v>
                </c:pt>
                <c:pt idx="139">
                  <c:v>10.662724255604834</c:v>
                </c:pt>
                <c:pt idx="140">
                  <c:v>10.331584443397688</c:v>
                </c:pt>
                <c:pt idx="141">
                  <c:v>10.002499708421908</c:v>
                </c:pt>
                <c:pt idx="142">
                  <c:v>9.6774736154863525</c:v>
                </c:pt>
                <c:pt idx="143">
                  <c:v>9.3584599013727079</c:v>
                </c:pt>
                <c:pt idx="144">
                  <c:v>9.0473510457344926</c:v>
                </c:pt>
                <c:pt idx="145">
                  <c:v>8.7459673611749977</c:v>
                </c:pt>
                <c:pt idx="146">
                  <c:v>8.456046663343205</c:v>
                </c:pt>
                <c:pt idx="147">
                  <c:v>8.179234577557061</c:v>
                </c:pt>
                <c:pt idx="148">
                  <c:v>7.9170755338395358</c:v>
                </c:pt>
                <c:pt idx="149">
                  <c:v>7.6710044973659519</c:v>
                </c:pt>
                <c:pt idx="150">
                  <c:v>7.442339476205059</c:v>
                </c:pt>
                <c:pt idx="151">
                  <c:v>7.2322748429252854</c:v>
                </c:pt>
                <c:pt idx="152">
                  <c:v>7.0418755011668903</c:v>
                </c:pt>
                <c:pt idx="153">
                  <c:v>6.8720719226860201</c:v>
                </c:pt>
                <c:pt idx="154">
                  <c:v>6.7236560746938263</c:v>
                </c:pt>
                <c:pt idx="155">
                  <c:v>6.5972782515793247</c:v>
                </c:pt>
                <c:pt idx="156">
                  <c:v>6.4934448193540764</c:v>
                </c:pt>
                <c:pt idx="157">
                  <c:v>6.4125168754260979</c:v>
                </c:pt>
                <c:pt idx="158">
                  <c:v>6.3547098206345733</c:v>
                </c:pt>
                <c:pt idx="159">
                  <c:v>6.3200938348903</c:v>
                </c:pt>
                <c:pt idx="160">
                  <c:v>6.3085952423026415</c:v>
                </c:pt>
                <c:pt idx="161">
                  <c:v>6.3199987463643428</c:v>
                </c:pt>
                <c:pt idx="162">
                  <c:v>6.3539505106416971</c:v>
                </c:pt>
                <c:pt idx="163">
                  <c:v>6.409962055508398</c:v>
                </c:pt>
                <c:pt idx="164">
                  <c:v>6.4874149367947709</c:v>
                </c:pt>
                <c:pt idx="165">
                  <c:v>6.5855661678256183</c:v>
                </c:pt>
                <c:pt idx="166">
                  <c:v>6.703554342213403</c:v>
                </c:pt>
                <c:pt idx="167">
                  <c:v>6.8404064109807248</c:v>
                </c:pt>
                <c:pt idx="168">
                  <c:v>6.995045064126475</c:v>
                </c:pt>
                <c:pt idx="169">
                  <c:v>7.1662966636408338</c:v>
                </c:pt>
                <c:pt idx="170">
                  <c:v>7.3528996722303823</c:v>
                </c:pt>
                <c:pt idx="171">
                  <c:v>7.5535135196482646</c:v>
                </c:pt>
                <c:pt idx="172">
                  <c:v>7.766727846545578</c:v>
                </c:pt>
                <c:pt idx="173">
                  <c:v>7.9910720641763273</c:v>
                </c:pt>
                <c:pt idx="174">
                  <c:v>8.2250251671043841</c:v>
                </c:pt>
                <c:pt idx="175">
                  <c:v>8.4670257352789537</c:v>
                </c:pt>
                <c:pt idx="176">
                  <c:v>8.7154820614653676</c:v>
                </c:pt>
                <c:pt idx="177">
                  <c:v>8.9687823400375741</c:v>
                </c:pt>
                <c:pt idx="178">
                  <c:v>9.225304853552549</c:v>
                </c:pt>
                <c:pt idx="179">
                  <c:v>9.4834280943277456</c:v>
                </c:pt>
                <c:pt idx="180">
                  <c:v>9.741540759420575</c:v>
                </c:pt>
                <c:pt idx="181">
                  <c:v>9.9980515589520742</c:v>
                </c:pt>
                <c:pt idx="182">
                  <c:v>10.251398779611321</c:v>
                </c:pt>
                <c:pt idx="183">
                  <c:v>10.500059547406657</c:v>
                </c:pt>
                <c:pt idx="184">
                  <c:v>10.742558736276543</c:v>
                </c:pt>
                <c:pt idx="185">
                  <c:v>10.977477472017336</c:v>
                </c:pt>
                <c:pt idx="186">
                  <c:v>11.203461184106068</c:v>
                </c:pt>
                <c:pt idx="187">
                  <c:v>11.419227161370898</c:v>
                </c:pt>
                <c:pt idx="188">
                  <c:v>11.623571571066302</c:v>
                </c:pt>
                <c:pt idx="189">
                  <c:v>11.815375904719239</c:v>
                </c:pt>
                <c:pt idx="190">
                  <c:v>11.993612818100175</c:v>
                </c:pt>
                <c:pt idx="191">
                  <c:v>12.157351336812843</c:v>
                </c:pt>
                <c:pt idx="192">
                  <c:v>12.305761403260648</c:v>
                </c:pt>
                <c:pt idx="193">
                  <c:v>12.43811774510872</c:v>
                </c:pt>
                <c:pt idx="194">
                  <c:v>12.553803049789972</c:v>
                </c:pt>
                <c:pt idx="195">
                  <c:v>12.652310434073645</c:v>
                </c:pt>
                <c:pt idx="196">
                  <c:v>12.733245202196988</c:v>
                </c:pt>
                <c:pt idx="197">
                  <c:v>12.796325890527708</c:v>
                </c:pt>
                <c:pt idx="198">
                  <c:v>12.841384601148924</c:v>
                </c:pt>
                <c:pt idx="199">
                  <c:v>12.868366631112986</c:v>
                </c:pt>
                <c:pt idx="200">
                  <c:v>12.877329408369619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9C-4EB9-AA98-992E28CC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zoomScaleNormal="100" workbookViewId="0">
      <selection activeCell="B7" sqref="B7"/>
    </sheetView>
  </sheetViews>
  <sheetFormatPr defaultColWidth="8.6640625" defaultRowHeight="14.4" x14ac:dyDescent="0.3"/>
  <cols>
    <col min="1" max="1" width="34" customWidth="1"/>
    <col min="2" max="4" width="3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</row>
    <row r="5" spans="1:2" x14ac:dyDescent="0.3">
      <c r="A5" s="4" t="s">
        <v>3</v>
      </c>
      <c r="B5" s="5">
        <v>50</v>
      </c>
    </row>
    <row r="6" spans="1:2" x14ac:dyDescent="0.3">
      <c r="A6" s="4" t="s">
        <v>4</v>
      </c>
      <c r="B6" s="5">
        <v>0.1</v>
      </c>
    </row>
    <row r="7" spans="1:2" x14ac:dyDescent="0.3">
      <c r="A7" s="4" t="s">
        <v>5</v>
      </c>
      <c r="B7" s="5">
        <v>9.9999999999999995E-7</v>
      </c>
    </row>
    <row r="8" spans="1:2" x14ac:dyDescent="0.3">
      <c r="A8" s="4" t="s">
        <v>6</v>
      </c>
      <c r="B8" s="5">
        <v>10</v>
      </c>
    </row>
    <row r="10" spans="1:2" x14ac:dyDescent="0.3">
      <c r="A10" s="3" t="s">
        <v>7</v>
      </c>
    </row>
    <row r="11" spans="1:2" x14ac:dyDescent="0.3">
      <c r="A11" s="4" t="s">
        <v>8</v>
      </c>
      <c r="B11" s="6">
        <f>$B$5/(2*$B$6)</f>
        <v>250</v>
      </c>
    </row>
    <row r="12" spans="1:2" x14ac:dyDescent="0.3">
      <c r="A12" s="4" t="s">
        <v>9</v>
      </c>
      <c r="B12" s="6">
        <f>1/SQRT($B$6*$B$7)</f>
        <v>3162.277660168379</v>
      </c>
    </row>
    <row r="13" spans="1:2" x14ac:dyDescent="0.3">
      <c r="A13" s="4" t="s">
        <v>10</v>
      </c>
      <c r="B13" s="6">
        <f>SQRT($B$12^2-$B$11^2)</f>
        <v>3152.3800532296227</v>
      </c>
    </row>
    <row r="14" spans="1:2" x14ac:dyDescent="0.3">
      <c r="A14" s="4" t="s">
        <v>11</v>
      </c>
      <c r="B14" s="7">
        <f>2*PI()/$B$13</f>
        <v>1.9931560284878864E-3</v>
      </c>
    </row>
    <row r="15" spans="1:2" x14ac:dyDescent="0.3">
      <c r="A15" s="4" t="s">
        <v>12</v>
      </c>
      <c r="B15" s="7">
        <f>2.5*$B$14</f>
        <v>4.9828900712197161E-3</v>
      </c>
    </row>
    <row r="16" spans="1:2" x14ac:dyDescent="0.3">
      <c r="A16" s="4" t="s">
        <v>13</v>
      </c>
      <c r="B16" s="5">
        <v>200</v>
      </c>
    </row>
    <row r="17" spans="1:4" x14ac:dyDescent="0.3">
      <c r="A17" s="4" t="s">
        <v>14</v>
      </c>
      <c r="B17" s="7">
        <f>$B$15/$B$16</f>
        <v>2.491445035609858E-5</v>
      </c>
    </row>
    <row r="19" spans="1:4" ht="45" customHeight="1" x14ac:dyDescent="0.3">
      <c r="A19" s="9" t="s">
        <v>15</v>
      </c>
      <c r="B19" s="9"/>
      <c r="C19" s="9"/>
      <c r="D19" s="9"/>
    </row>
    <row r="21" spans="1:4" ht="30" customHeight="1" x14ac:dyDescent="0.3">
      <c r="A21" s="8" t="s">
        <v>16</v>
      </c>
      <c r="B21" s="8" t="s">
        <v>17</v>
      </c>
      <c r="C21" s="8" t="s">
        <v>18</v>
      </c>
      <c r="D21" s="8" t="s">
        <v>19</v>
      </c>
    </row>
    <row r="22" spans="1:4" x14ac:dyDescent="0.3">
      <c r="A22" s="7">
        <v>0</v>
      </c>
      <c r="B22" s="6">
        <f t="shared" ref="B22:B85" si="0">(($B$8/($B$6*$B$13))*EXP(-$B$11*A22)*SIN($B$13*A22))*$B$5</f>
        <v>0</v>
      </c>
      <c r="C22" s="6">
        <f t="shared" ref="C22:C85" si="1">$B$8-B22-D22</f>
        <v>10</v>
      </c>
      <c r="D22" s="6">
        <f t="shared" ref="D22:D85" si="2">$B$8*(1-EXP(-$B$11*A22)*(COS($B$13*A22)+($B$11/$B$13)*SIN($B$13*A22)))</f>
        <v>0</v>
      </c>
    </row>
    <row r="23" spans="1:4" x14ac:dyDescent="0.3">
      <c r="A23" s="7">
        <f t="shared" ref="A23:A54" si="3">A22+$B$17</f>
        <v>2.491445035609858E-5</v>
      </c>
      <c r="B23" s="6">
        <f t="shared" si="0"/>
        <v>0.12367151466410789</v>
      </c>
      <c r="C23" s="6">
        <f t="shared" si="1"/>
        <v>9.8454364406802419</v>
      </c>
      <c r="D23" s="6">
        <f t="shared" si="2"/>
        <v>3.089204465565043E-2</v>
      </c>
    </row>
    <row r="24" spans="1:4" x14ac:dyDescent="0.3">
      <c r="A24" s="7">
        <f t="shared" si="3"/>
        <v>4.982890071219716E-5</v>
      </c>
      <c r="B24" s="6">
        <f t="shared" si="0"/>
        <v>0.24504947178355715</v>
      </c>
      <c r="C24" s="6">
        <f t="shared" si="1"/>
        <v>9.6320832965901815</v>
      </c>
      <c r="D24" s="6">
        <f t="shared" si="2"/>
        <v>0.12286723162626023</v>
      </c>
    </row>
    <row r="25" spans="1:4" x14ac:dyDescent="0.3">
      <c r="A25" s="7">
        <f t="shared" si="3"/>
        <v>7.4743351068295744E-5</v>
      </c>
      <c r="B25" s="6">
        <f t="shared" si="0"/>
        <v>0.36341389692705506</v>
      </c>
      <c r="C25" s="6">
        <f t="shared" si="1"/>
        <v>9.361983831419197</v>
      </c>
      <c r="D25" s="6">
        <f t="shared" si="2"/>
        <v>0.27460227165374884</v>
      </c>
    </row>
    <row r="26" spans="1:4" x14ac:dyDescent="0.3">
      <c r="A26" s="7">
        <f t="shared" si="3"/>
        <v>9.9657801424394321E-5</v>
      </c>
      <c r="B26" s="6">
        <f t="shared" si="0"/>
        <v>0.47807230916306959</v>
      </c>
      <c r="C26" s="6">
        <f t="shared" si="1"/>
        <v>9.0375058887595578</v>
      </c>
      <c r="D26" s="6">
        <f t="shared" si="2"/>
        <v>0.48442180207737273</v>
      </c>
    </row>
    <row r="27" spans="1:4" x14ac:dyDescent="0.3">
      <c r="A27" s="7">
        <f t="shared" si="3"/>
        <v>1.245722517804929E-4</v>
      </c>
      <c r="B27" s="6">
        <f t="shared" si="0"/>
        <v>0.58836365025560888</v>
      </c>
      <c r="C27" s="6">
        <f t="shared" si="1"/>
        <v>8.6613232746329043</v>
      </c>
      <c r="D27" s="6">
        <f t="shared" si="2"/>
        <v>0.75031307511148726</v>
      </c>
    </row>
    <row r="28" spans="1:4" x14ac:dyDescent="0.3">
      <c r="A28" s="7">
        <f t="shared" si="3"/>
        <v>1.4948670213659149E-4</v>
      </c>
      <c r="B28" s="6">
        <f t="shared" si="0"/>
        <v>0.69366197147679731</v>
      </c>
      <c r="C28" s="6">
        <f t="shared" si="1"/>
        <v>8.2363954840566151</v>
      </c>
      <c r="D28" s="6">
        <f t="shared" si="2"/>
        <v>1.0699425444665889</v>
      </c>
    </row>
    <row r="29" spans="1:4" x14ac:dyDescent="0.3">
      <c r="A29" s="7">
        <f t="shared" si="3"/>
        <v>1.7440115249269008E-4</v>
      </c>
      <c r="B29" s="6">
        <f t="shared" si="0"/>
        <v>0.79337985830550839</v>
      </c>
      <c r="C29" s="6">
        <f t="shared" si="1"/>
        <v>7.7659459171488079</v>
      </c>
      <c r="D29" s="6">
        <f t="shared" si="2"/>
        <v>1.4406742245456838</v>
      </c>
    </row>
    <row r="30" spans="1:4" x14ac:dyDescent="0.3">
      <c r="A30" s="7">
        <f t="shared" si="3"/>
        <v>1.9931560284878867E-4</v>
      </c>
      <c r="B30" s="6">
        <f t="shared" si="0"/>
        <v>0.88697157514167557</v>
      </c>
      <c r="C30" s="6">
        <f t="shared" si="1"/>
        <v>7.2534387377823304</v>
      </c>
      <c r="D30" s="6">
        <f t="shared" si="2"/>
        <v>1.8595896870759943</v>
      </c>
    </row>
    <row r="31" spans="1:4" x14ac:dyDescent="0.3">
      <c r="A31" s="7">
        <f t="shared" si="3"/>
        <v>2.2423005320488726E-4</v>
      </c>
      <c r="B31" s="6">
        <f t="shared" si="0"/>
        <v>0.97393591411340397</v>
      </c>
      <c r="C31" s="6">
        <f t="shared" si="1"/>
        <v>6.7025545342732613</v>
      </c>
      <c r="D31" s="6">
        <f t="shared" si="2"/>
        <v>2.3235095516133342</v>
      </c>
    </row>
    <row r="32" spans="1:4" x14ac:dyDescent="0.3">
      <c r="A32" s="7">
        <f t="shared" si="3"/>
        <v>2.4914450356098585E-4</v>
      </c>
      <c r="B32" s="6">
        <f t="shared" si="0"/>
        <v>1.0538187340755865</v>
      </c>
      <c r="C32" s="6">
        <f t="shared" si="1"/>
        <v>6.1171649470013465</v>
      </c>
      <c r="D32" s="6">
        <f t="shared" si="2"/>
        <v>2.8290163189230677</v>
      </c>
    </row>
    <row r="33" spans="1:4" x14ac:dyDescent="0.3">
      <c r="A33" s="7">
        <f t="shared" si="3"/>
        <v>2.7405895391708441E-4</v>
      </c>
      <c r="B33" s="6">
        <f t="shared" si="0"/>
        <v>1.1262151779809684</v>
      </c>
      <c r="C33" s="6">
        <f t="shared" si="1"/>
        <v>5.5013064321877252</v>
      </c>
      <c r="D33" s="6">
        <f t="shared" si="2"/>
        <v>3.372478389831306</v>
      </c>
    </row>
    <row r="34" spans="1:4" x14ac:dyDescent="0.3">
      <c r="A34" s="7">
        <f t="shared" si="3"/>
        <v>2.9897340427318298E-4</v>
      </c>
      <c r="B34" s="6">
        <f t="shared" si="0"/>
        <v>1.1907715589339678</v>
      </c>
      <c r="C34" s="6">
        <f t="shared" si="1"/>
        <v>4.859153334286507</v>
      </c>
      <c r="D34" s="6">
        <f t="shared" si="2"/>
        <v>3.9500751067795257</v>
      </c>
    </row>
    <row r="35" spans="1:4" x14ac:dyDescent="0.3">
      <c r="A35" s="7">
        <f t="shared" si="3"/>
        <v>3.2388785462928154E-4</v>
      </c>
      <c r="B35" s="6">
        <f t="shared" si="0"/>
        <v>1.2471869074002773</v>
      </c>
      <c r="C35" s="6">
        <f t="shared" si="1"/>
        <v>4.1949904415745092</v>
      </c>
      <c r="D35" s="6">
        <f t="shared" si="2"/>
        <v>4.557822651025214</v>
      </c>
    </row>
    <row r="36" spans="1:4" x14ac:dyDescent="0.3">
      <c r="A36" s="7">
        <f t="shared" si="3"/>
        <v>3.488023049853801E-4</v>
      </c>
      <c r="B36" s="6">
        <f t="shared" si="0"/>
        <v>1.2952141742276391</v>
      </c>
      <c r="C36" s="6">
        <f t="shared" si="1"/>
        <v>3.5131852005485529</v>
      </c>
      <c r="D36" s="6">
        <f t="shared" si="2"/>
        <v>5.1916006252238089</v>
      </c>
    </row>
    <row r="37" spans="1:4" x14ac:dyDescent="0.3">
      <c r="A37" s="7">
        <f t="shared" si="3"/>
        <v>3.7371675534147867E-4</v>
      </c>
      <c r="B37" s="6">
        <f t="shared" si="0"/>
        <v>1.3346610863214889</v>
      </c>
      <c r="C37" s="6">
        <f t="shared" si="1"/>
        <v>2.8181597646693053</v>
      </c>
      <c r="D37" s="6">
        <f t="shared" si="2"/>
        <v>5.8471791490092055</v>
      </c>
    </row>
    <row r="38" spans="1:4" x14ac:dyDescent="0.3">
      <c r="A38" s="7">
        <f t="shared" si="3"/>
        <v>3.9863120569757723E-4</v>
      </c>
      <c r="B38" s="6">
        <f t="shared" si="0"/>
        <v>1.3653906539998184</v>
      </c>
      <c r="C38" s="6">
        <f t="shared" si="1"/>
        <v>2.1143630518389163</v>
      </c>
      <c r="D38" s="6">
        <f t="shared" si="2"/>
        <v>6.5202462941612662</v>
      </c>
    </row>
    <row r="39" spans="1:4" x14ac:dyDescent="0.3">
      <c r="A39" s="7">
        <f t="shared" si="3"/>
        <v>4.2354565605367579E-4</v>
      </c>
      <c r="B39" s="6">
        <f t="shared" si="0"/>
        <v>1.3873213312113153</v>
      </c>
      <c r="C39" s="6">
        <f t="shared" si="1"/>
        <v>1.4062429827867788</v>
      </c>
      <c r="D39" s="6">
        <f t="shared" si="2"/>
        <v>7.2064356860019068</v>
      </c>
    </row>
    <row r="40" spans="1:4" x14ac:dyDescent="0.3">
      <c r="A40" s="7">
        <f t="shared" si="3"/>
        <v>4.4846010640977436E-4</v>
      </c>
      <c r="B40" s="6">
        <f t="shared" si="0"/>
        <v>1.4004268319264652</v>
      </c>
      <c r="C40" s="6">
        <f t="shared" si="1"/>
        <v>0.69821906929106436</v>
      </c>
      <c r="D40" s="6">
        <f t="shared" si="2"/>
        <v>7.9013540987824706</v>
      </c>
    </row>
    <row r="41" spans="1:4" x14ac:dyDescent="0.3">
      <c r="A41" s="7">
        <f t="shared" si="3"/>
        <v>4.7337455676587292E-4</v>
      </c>
      <c r="B41" s="6">
        <f t="shared" si="0"/>
        <v>1.4047356080902398</v>
      </c>
      <c r="C41" s="6">
        <f t="shared" si="1"/>
        <v>-5.3444830848068392E-3</v>
      </c>
      <c r="D41" s="6">
        <f t="shared" si="2"/>
        <v>8.6006088749945668</v>
      </c>
    </row>
    <row r="42" spans="1:4" x14ac:dyDescent="0.3">
      <c r="A42" s="7">
        <f t="shared" si="3"/>
        <v>4.9828900712197148E-4</v>
      </c>
      <c r="B42" s="6">
        <f t="shared" si="0"/>
        <v>1.4003299965449694</v>
      </c>
      <c r="C42" s="6">
        <f t="shared" si="1"/>
        <v>-0.70016499827248069</v>
      </c>
      <c r="D42" s="6">
        <f t="shared" si="2"/>
        <v>9.2998350017275122</v>
      </c>
    </row>
    <row r="43" spans="1:4" x14ac:dyDescent="0.3">
      <c r="A43" s="7">
        <f t="shared" si="3"/>
        <v>5.2320345747807005E-4</v>
      </c>
      <c r="B43" s="6">
        <f t="shared" si="0"/>
        <v>1.3873450442812627</v>
      </c>
      <c r="C43" s="6">
        <f t="shared" si="1"/>
        <v>-1.3820667256572765</v>
      </c>
      <c r="D43" s="6">
        <f t="shared" si="2"/>
        <v>9.9947216813760136</v>
      </c>
    </row>
    <row r="44" spans="1:4" x14ac:dyDescent="0.3">
      <c r="A44" s="7">
        <f t="shared" si="3"/>
        <v>5.4811790783416861E-4</v>
      </c>
      <c r="B44" s="6">
        <f t="shared" si="0"/>
        <v>1.3659670232422998</v>
      </c>
      <c r="C44" s="6">
        <f t="shared" si="1"/>
        <v>-2.0470052623758068</v>
      </c>
      <c r="D44" s="6">
        <f t="shared" si="2"/>
        <v>10.681038239133507</v>
      </c>
    </row>
    <row r="45" spans="1:4" x14ac:dyDescent="0.3">
      <c r="A45" s="7">
        <f t="shared" si="3"/>
        <v>5.7303235819026717E-4</v>
      </c>
      <c r="B45" s="6">
        <f t="shared" si="0"/>
        <v>1.3364316476819433</v>
      </c>
      <c r="C45" s="6">
        <f t="shared" si="1"/>
        <v>-2.691090863428288</v>
      </c>
      <c r="D45" s="6">
        <f t="shared" si="2"/>
        <v>11.354659215746345</v>
      </c>
    </row>
    <row r="46" spans="1:4" x14ac:dyDescent="0.3">
      <c r="A46" s="7">
        <f t="shared" si="3"/>
        <v>5.9794680854636574E-4</v>
      </c>
      <c r="B46" s="6">
        <f t="shared" si="0"/>
        <v>1.2990220087501101</v>
      </c>
      <c r="C46" s="6">
        <f t="shared" si="1"/>
        <v>-3.3106105096533547</v>
      </c>
      <c r="D46" s="6">
        <f t="shared" si="2"/>
        <v>12.011588500903244</v>
      </c>
    </row>
    <row r="47" spans="1:4" x14ac:dyDescent="0.3">
      <c r="A47" s="7">
        <f t="shared" si="3"/>
        <v>6.228612589024643E-4</v>
      </c>
      <c r="B47" s="6">
        <f t="shared" si="0"/>
        <v>1.2540662425406373</v>
      </c>
      <c r="C47" s="6">
        <f t="shared" si="1"/>
        <v>-3.9020486128805665</v>
      </c>
      <c r="D47" s="6">
        <f t="shared" si="2"/>
        <v>12.647982370339928</v>
      </c>
    </row>
    <row r="48" spans="1:4" x14ac:dyDescent="0.3">
      <c r="A48" s="7">
        <f t="shared" si="3"/>
        <v>6.4777570925856286E-4</v>
      </c>
      <c r="B48" s="6">
        <f t="shared" si="0"/>
        <v>1.2019349492792741</v>
      </c>
      <c r="C48" s="6">
        <f t="shared" si="1"/>
        <v>-4.4621062474725157</v>
      </c>
      <c r="D48" s="6">
        <f t="shared" si="2"/>
        <v>13.260171298193242</v>
      </c>
    </row>
    <row r="49" spans="1:4" x14ac:dyDescent="0.3">
      <c r="A49" s="7">
        <f t="shared" si="3"/>
        <v>6.7269015961466143E-4</v>
      </c>
      <c r="B49" s="6">
        <f t="shared" si="0"/>
        <v>1.1430383826449315</v>
      </c>
      <c r="C49" s="6">
        <f t="shared" si="1"/>
        <v>-4.9877188079256705</v>
      </c>
      <c r="D49" s="6">
        <f t="shared" si="2"/>
        <v>13.844680425280739</v>
      </c>
    </row>
    <row r="50" spans="1:4" x14ac:dyDescent="0.3">
      <c r="A50" s="7">
        <f t="shared" si="3"/>
        <v>6.9760460997075999E-4</v>
      </c>
      <c r="B50" s="6">
        <f t="shared" si="0"/>
        <v>1.0778234293994697</v>
      </c>
      <c r="C50" s="6">
        <f t="shared" si="1"/>
        <v>-5.4760720031454024</v>
      </c>
      <c r="D50" s="6">
        <f t="shared" si="2"/>
        <v>14.398248573745933</v>
      </c>
    </row>
    <row r="51" spans="1:4" x14ac:dyDescent="0.3">
      <c r="A51" s="7">
        <f t="shared" si="3"/>
        <v>7.2251906032685855E-4</v>
      </c>
      <c r="B51" s="6">
        <f t="shared" si="0"/>
        <v>1.0067704005444076</v>
      </c>
      <c r="C51" s="6">
        <f t="shared" si="1"/>
        <v>-5.9246161093728418</v>
      </c>
      <c r="D51" s="6">
        <f t="shared" si="2"/>
        <v>14.917845708828434</v>
      </c>
    </row>
    <row r="52" spans="1:4" x14ac:dyDescent="0.3">
      <c r="A52" s="7">
        <f t="shared" si="3"/>
        <v>7.4743351068295712E-4</v>
      </c>
      <c r="B52" s="6">
        <f t="shared" si="0"/>
        <v>0.93038965612229607</v>
      </c>
      <c r="C52" s="6">
        <f t="shared" si="1"/>
        <v>-6.3310784154433239</v>
      </c>
      <c r="D52" s="6">
        <f t="shared" si="2"/>
        <v>15.400688759321028</v>
      </c>
    </row>
    <row r="53" spans="1:4" x14ac:dyDescent="0.3">
      <c r="A53" s="7">
        <f t="shared" si="3"/>
        <v>7.7234796103905568E-4</v>
      </c>
      <c r="B53" s="6">
        <f t="shared" si="0"/>
        <v>0.84921808653237596</v>
      </c>
      <c r="C53" s="6">
        <f t="shared" si="1"/>
        <v>-6.6934738060228351</v>
      </c>
      <c r="D53" s="6">
        <f t="shared" si="2"/>
        <v>15.844255719490459</v>
      </c>
    </row>
    <row r="54" spans="1:4" x14ac:dyDescent="0.3">
      <c r="A54" s="7">
        <f t="shared" si="3"/>
        <v>7.9726241139515424E-4</v>
      </c>
      <c r="B54" s="6">
        <f t="shared" si="0"/>
        <v>0.76381547383168391</v>
      </c>
      <c r="C54" s="6">
        <f t="shared" si="1"/>
        <v>-7.010113440622046</v>
      </c>
      <c r="D54" s="6">
        <f t="shared" si="2"/>
        <v>16.246297966790362</v>
      </c>
    </row>
    <row r="55" spans="1:4" x14ac:dyDescent="0.3">
      <c r="A55" s="7">
        <f t="shared" ref="A55:A86" si="4">A54+$B$17</f>
        <v>8.221768617512528E-4</v>
      </c>
      <c r="B55" s="6">
        <f t="shared" si="0"/>
        <v>0.67476075694216042</v>
      </c>
      <c r="C55" s="6">
        <f t="shared" si="1"/>
        <v>-7.2796114984508513</v>
      </c>
      <c r="D55" s="6">
        <f t="shared" si="2"/>
        <v>16.604850741508692</v>
      </c>
    </row>
    <row r="56" spans="1:4" x14ac:dyDescent="0.3">
      <c r="A56" s="7">
        <f t="shared" si="4"/>
        <v>8.4709131210735137E-4</v>
      </c>
      <c r="B56" s="6">
        <f t="shared" si="0"/>
        <v>0.58264822498065927</v>
      </c>
      <c r="C56" s="6">
        <f t="shared" si="1"/>
        <v>-7.5008899714720378</v>
      </c>
      <c r="D56" s="6">
        <f t="shared" si="2"/>
        <v>16.918241746491379</v>
      </c>
    </row>
    <row r="57" spans="1:4" x14ac:dyDescent="0.3">
      <c r="A57" s="7">
        <f t="shared" si="4"/>
        <v>8.7200576246344993E-4</v>
      </c>
      <c r="B57" s="6">
        <f t="shared" si="0"/>
        <v>0.48808366307211909</v>
      </c>
      <c r="C57" s="6">
        <f t="shared" si="1"/>
        <v>-7.6731815002652279</v>
      </c>
      <c r="D57" s="6">
        <f t="shared" si="2"/>
        <v>17.185097837193108</v>
      </c>
    </row>
    <row r="58" spans="1:4" x14ac:dyDescent="0.3">
      <c r="A58" s="7">
        <f t="shared" si="4"/>
        <v>8.9692021281954849E-4</v>
      </c>
      <c r="B58" s="6">
        <f t="shared" si="0"/>
        <v>0.39168047499754621</v>
      </c>
      <c r="C58" s="6">
        <f t="shared" si="1"/>
        <v>-7.7960302594462156</v>
      </c>
      <c r="D58" s="6">
        <f t="shared" si="2"/>
        <v>17.404349784448669</v>
      </c>
    </row>
    <row r="59" spans="1:4" x14ac:dyDescent="0.3">
      <c r="A59" s="7">
        <f t="shared" si="4"/>
        <v>9.2183466317564706E-4</v>
      </c>
      <c r="B59" s="6">
        <f t="shared" si="0"/>
        <v>0.29405580686981592</v>
      </c>
      <c r="C59" s="6">
        <f t="shared" si="1"/>
        <v>-7.8692909113289762</v>
      </c>
      <c r="D59" s="6">
        <f t="shared" si="2"/>
        <v>17.575235104459161</v>
      </c>
    </row>
    <row r="60" spans="1:4" x14ac:dyDescent="0.3">
      <c r="A60" s="7">
        <f t="shared" si="4"/>
        <v>9.4674911353174562E-4</v>
      </c>
      <c r="B60" s="6">
        <f t="shared" si="0"/>
        <v>0.19582669572445316</v>
      </c>
      <c r="C60" s="6">
        <f t="shared" si="1"/>
        <v>-7.8931256581966771</v>
      </c>
      <c r="D60" s="6">
        <f t="shared" si="2"/>
        <v>17.697298962472225</v>
      </c>
    </row>
    <row r="61" spans="1:4" x14ac:dyDescent="0.3">
      <c r="A61" s="7">
        <f t="shared" si="4"/>
        <v>9.7166356388784418E-4</v>
      </c>
      <c r="B61" s="6">
        <f t="shared" si="0"/>
        <v>9.7606266463213215E-2</v>
      </c>
      <c r="C61" s="6">
        <f t="shared" si="1"/>
        <v>-7.8679994348954203</v>
      </c>
      <c r="D61" s="6">
        <f t="shared" si="2"/>
        <v>17.770393168432207</v>
      </c>
    </row>
    <row r="62" spans="1:4" x14ac:dyDescent="0.3">
      <c r="A62" s="7">
        <f t="shared" si="4"/>
        <v>9.9657801424394275E-4</v>
      </c>
      <c r="B62" s="6">
        <f t="shared" si="0"/>
        <v>1.7985702732394986E-15</v>
      </c>
      <c r="C62" s="6">
        <f t="shared" si="1"/>
        <v>-7.7946732944139487</v>
      </c>
      <c r="D62" s="6">
        <f t="shared" si="2"/>
        <v>17.794673294413947</v>
      </c>
    </row>
    <row r="63" spans="1:4" x14ac:dyDescent="0.3">
      <c r="A63" s="7">
        <f t="shared" si="4"/>
        <v>1.0214924646000413E-3</v>
      </c>
      <c r="B63" s="6">
        <f t="shared" si="0"/>
        <v>-9.6397905263202646E-2</v>
      </c>
      <c r="C63" s="6">
        <f t="shared" si="1"/>
        <v>-7.674196049602017</v>
      </c>
      <c r="D63" s="6">
        <f t="shared" si="2"/>
        <v>17.77059395486522</v>
      </c>
    </row>
    <row r="64" spans="1:4" x14ac:dyDescent="0.3">
      <c r="A64" s="7">
        <f t="shared" si="4"/>
        <v>1.0464069149561399E-3</v>
      </c>
      <c r="B64" s="6">
        <f t="shared" si="0"/>
        <v>-0.1910080573521519</v>
      </c>
      <c r="C64" s="6">
        <f t="shared" si="1"/>
        <v>-7.5078942441502168</v>
      </c>
      <c r="D64" s="6">
        <f t="shared" si="2"/>
        <v>17.698902301502368</v>
      </c>
    </row>
    <row r="65" spans="1:4" x14ac:dyDescent="0.3">
      <c r="A65" s="7">
        <f t="shared" si="4"/>
        <v>1.0713213653122384E-3</v>
      </c>
      <c r="B65" s="6">
        <f t="shared" si="0"/>
        <v>-0.28326925971962019</v>
      </c>
      <c r="C65" s="6">
        <f t="shared" si="1"/>
        <v>-7.2973605353498385</v>
      </c>
      <c r="D65" s="6">
        <f t="shared" si="2"/>
        <v>17.580629795069459</v>
      </c>
    </row>
    <row r="66" spans="1:4" x14ac:dyDescent="0.3">
      <c r="A66" s="7">
        <f t="shared" si="4"/>
        <v>1.096235815668337E-3</v>
      </c>
      <c r="B66" s="6">
        <f t="shared" si="0"/>
        <v>-0.37264174610321693</v>
      </c>
      <c r="C66" s="6">
        <f t="shared" si="1"/>
        <v>-7.0444405799222949</v>
      </c>
      <c r="D66" s="6">
        <f t="shared" si="2"/>
        <v>17.417082326025511</v>
      </c>
    </row>
    <row r="67" spans="1:4" x14ac:dyDescent="0.3">
      <c r="A67" s="7">
        <f t="shared" si="4"/>
        <v>1.1211502660244356E-3</v>
      </c>
      <c r="B67" s="6">
        <f t="shared" si="0"/>
        <v>-0.45861024320512855</v>
      </c>
      <c r="C67" s="6">
        <f t="shared" si="1"/>
        <v>-6.7512185223067078</v>
      </c>
      <c r="D67" s="6">
        <f t="shared" si="2"/>
        <v>17.209828765511837</v>
      </c>
    </row>
    <row r="68" spans="1:4" x14ac:dyDescent="0.3">
      <c r="A68" s="7">
        <f t="shared" si="4"/>
        <v>1.1460647163805341E-3</v>
      </c>
      <c r="B68" s="6">
        <f t="shared" si="0"/>
        <v>-0.5406868444420706</v>
      </c>
      <c r="C68" s="6">
        <f t="shared" si="1"/>
        <v>-6.4200011921807771</v>
      </c>
      <c r="D68" s="6">
        <f t="shared" si="2"/>
        <v>16.960688036622848</v>
      </c>
    </row>
    <row r="69" spans="1:4" x14ac:dyDescent="0.3">
      <c r="A69" s="7">
        <f t="shared" si="4"/>
        <v>1.1709791667366327E-3</v>
      </c>
      <c r="B69" s="6">
        <f t="shared" si="0"/>
        <v>-0.61841367938598513</v>
      </c>
      <c r="C69" s="6">
        <f t="shared" si="1"/>
        <v>-6.0533011246262909</v>
      </c>
      <c r="D69" s="6">
        <f t="shared" si="2"/>
        <v>16.671714804012275</v>
      </c>
    </row>
    <row r="70" spans="1:4" x14ac:dyDescent="0.3">
      <c r="A70" s="7">
        <f t="shared" si="4"/>
        <v>1.1958936170927313E-3</v>
      </c>
      <c r="B70" s="6">
        <f t="shared" si="0"/>
        <v>-0.69136536496610757</v>
      </c>
      <c r="C70" s="6">
        <f t="shared" si="1"/>
        <v>-5.6538185222059614</v>
      </c>
      <c r="D70" s="6">
        <f t="shared" si="2"/>
        <v>16.34518388717207</v>
      </c>
    </row>
    <row r="71" spans="1:4" x14ac:dyDescent="0.3">
      <c r="A71" s="7">
        <f t="shared" si="4"/>
        <v>1.2208080674488298E-3</v>
      </c>
      <c r="B71" s="6">
        <f t="shared" si="0"/>
        <v>-0.7591512260210368</v>
      </c>
      <c r="C71" s="6">
        <f t="shared" si="1"/>
        <v>-5.2244222832652998</v>
      </c>
      <c r="D71" s="6">
        <f t="shared" si="2"/>
        <v>15.983573509286337</v>
      </c>
    </row>
    <row r="72" spans="1:4" x14ac:dyDescent="0.3">
      <c r="A72" s="7">
        <f t="shared" si="4"/>
        <v>1.2457225178049284E-3</v>
      </c>
      <c r="B72" s="6">
        <f t="shared" si="0"/>
        <v>-0.82141727436520673</v>
      </c>
      <c r="C72" s="6">
        <f t="shared" si="1"/>
        <v>-4.7681302249916619</v>
      </c>
      <c r="D72" s="6">
        <f t="shared" si="2"/>
        <v>15.589547499356868</v>
      </c>
    </row>
    <row r="73" spans="1:4" x14ac:dyDescent="0.3">
      <c r="A73" s="7">
        <f t="shared" si="4"/>
        <v>1.2706369681610269E-3</v>
      </c>
      <c r="B73" s="6">
        <f t="shared" si="0"/>
        <v>-0.87784793715718923</v>
      </c>
      <c r="C73" s="6">
        <f t="shared" si="1"/>
        <v>-4.2880886331361445</v>
      </c>
      <c r="D73" s="6">
        <f t="shared" si="2"/>
        <v>15.165936570293333</v>
      </c>
    </row>
    <row r="74" spans="1:4" x14ac:dyDescent="0.3">
      <c r="A74" s="7">
        <f t="shared" si="4"/>
        <v>1.2955514185171255E-3</v>
      </c>
      <c r="B74" s="6">
        <f t="shared" si="0"/>
        <v>-0.92816752701702487</v>
      </c>
      <c r="C74" s="6">
        <f t="shared" si="1"/>
        <v>-3.7875512728225651</v>
      </c>
      <c r="D74" s="6">
        <f t="shared" si="2"/>
        <v>14.715718799839589</v>
      </c>
    </row>
    <row r="75" spans="1:4" x14ac:dyDescent="0.3">
      <c r="A75" s="7">
        <f t="shared" si="4"/>
        <v>1.3204658688732241E-3</v>
      </c>
      <c r="B75" s="6">
        <f t="shared" si="0"/>
        <v>-0.97214144802556501</v>
      </c>
      <c r="C75" s="6">
        <f t="shared" si="1"/>
        <v>-3.2698579965262677</v>
      </c>
      <c r="D75" s="6">
        <f t="shared" si="2"/>
        <v>14.241999444551833</v>
      </c>
    </row>
    <row r="76" spans="1:4" x14ac:dyDescent="0.3">
      <c r="A76" s="7">
        <f t="shared" si="4"/>
        <v>1.3453803192293226E-3</v>
      </c>
      <c r="B76" s="6">
        <f t="shared" si="0"/>
        <v>-1.0095771334398584</v>
      </c>
      <c r="C76" s="6">
        <f t="shared" si="1"/>
        <v>-2.7384130861046216</v>
      </c>
      <c r="D76" s="6">
        <f t="shared" si="2"/>
        <v>13.74799021954448</v>
      </c>
    </row>
    <row r="77" spans="1:4" x14ac:dyDescent="0.3">
      <c r="A77" s="7">
        <f t="shared" si="4"/>
        <v>1.3702947695854212E-3</v>
      </c>
      <c r="B77" s="6">
        <f t="shared" si="0"/>
        <v>-1.0403247126643604</v>
      </c>
      <c r="C77" s="6">
        <f t="shared" si="1"/>
        <v>-2.1966634657059885</v>
      </c>
      <c r="D77" s="6">
        <f t="shared" si="2"/>
        <v>13.23698817837035</v>
      </c>
    </row>
    <row r="78" spans="1:4" x14ac:dyDescent="0.3">
      <c r="A78" s="7">
        <f t="shared" si="4"/>
        <v>1.3952092199415198E-3</v>
      </c>
      <c r="B78" s="6">
        <f t="shared" si="0"/>
        <v>-1.0642774067174769</v>
      </c>
      <c r="C78" s="6">
        <f t="shared" si="1"/>
        <v>-1.6480769214864512</v>
      </c>
      <c r="D78" s="6">
        <f t="shared" si="2"/>
        <v>12.712354328203928</v>
      </c>
    </row>
    <row r="79" spans="1:4" x14ac:dyDescent="0.3">
      <c r="A79" s="7">
        <f t="shared" si="4"/>
        <v>1.4201236702976183E-3</v>
      </c>
      <c r="B79" s="6">
        <f t="shared" si="0"/>
        <v>-1.081371653116364</v>
      </c>
      <c r="C79" s="6">
        <f t="shared" si="1"/>
        <v>-1.0961204623385274</v>
      </c>
      <c r="D79" s="6">
        <f t="shared" si="2"/>
        <v>12.177492115454891</v>
      </c>
    </row>
    <row r="80" spans="1:4" x14ac:dyDescent="0.3">
      <c r="A80" s="7">
        <f t="shared" si="4"/>
        <v>1.4450381206537169E-3</v>
      </c>
      <c r="B80" s="6">
        <f t="shared" si="0"/>
        <v>-1.0915869627597945</v>
      </c>
      <c r="C80" s="6">
        <f t="shared" si="1"/>
        <v>-0.54423895330537242</v>
      </c>
      <c r="D80" s="6">
        <f t="shared" si="2"/>
        <v>11.635825916065167</v>
      </c>
    </row>
    <row r="81" spans="1:4" x14ac:dyDescent="0.3">
      <c r="A81" s="7">
        <f t="shared" si="4"/>
        <v>1.4699525710098155E-3</v>
      </c>
      <c r="B81" s="6">
        <f t="shared" si="0"/>
        <v>-1.0949455130093326</v>
      </c>
      <c r="C81" s="6">
        <f t="shared" si="1"/>
        <v>4.1658499573440366E-3</v>
      </c>
      <c r="D81" s="6">
        <f t="shared" si="2"/>
        <v>11.090779663051988</v>
      </c>
    </row>
    <row r="82" spans="1:4" x14ac:dyDescent="0.3">
      <c r="A82" s="7">
        <f t="shared" si="4"/>
        <v>1.494867021365914E-3</v>
      </c>
      <c r="B82" s="6">
        <f t="shared" si="0"/>
        <v>-1.0915114827435848</v>
      </c>
      <c r="C82" s="6">
        <f t="shared" si="1"/>
        <v>0.54575574137177973</v>
      </c>
      <c r="D82" s="6">
        <f t="shared" si="2"/>
        <v>10.545755741371805</v>
      </c>
    </row>
    <row r="83" spans="1:4" x14ac:dyDescent="0.3">
      <c r="A83" s="7">
        <f t="shared" si="4"/>
        <v>1.5197814717220126E-3</v>
      </c>
      <c r="B83" s="6">
        <f t="shared" si="0"/>
        <v>-1.0813901366796699</v>
      </c>
      <c r="C83" s="6">
        <f t="shared" si="1"/>
        <v>1.0772758597578758</v>
      </c>
      <c r="D83" s="6">
        <f t="shared" si="2"/>
        <v>10.004114276921793</v>
      </c>
    </row>
    <row r="84" spans="1:4" x14ac:dyDescent="0.3">
      <c r="A84" s="7">
        <f t="shared" si="4"/>
        <v>1.5446959220781111E-3</v>
      </c>
      <c r="B84" s="6">
        <f t="shared" si="0"/>
        <v>-1.0647266677116871</v>
      </c>
      <c r="C84" s="6">
        <f t="shared" si="1"/>
        <v>1.595573725216541</v>
      </c>
      <c r="D84" s="6">
        <f t="shared" si="2"/>
        <v>9.4691529424951462</v>
      </c>
    </row>
    <row r="85" spans="1:4" x14ac:dyDescent="0.3">
      <c r="A85" s="7">
        <f t="shared" si="4"/>
        <v>1.5696103724342097E-3</v>
      </c>
      <c r="B85" s="6">
        <f t="shared" si="0"/>
        <v>-1.0417048073996076</v>
      </c>
      <c r="C85" s="6">
        <f t="shared" si="1"/>
        <v>2.0976174086005734</v>
      </c>
      <c r="D85" s="6">
        <f t="shared" si="2"/>
        <v>8.9440873987990344</v>
      </c>
    </row>
    <row r="86" spans="1:4" x14ac:dyDescent="0.3">
      <c r="A86" s="7">
        <f t="shared" si="4"/>
        <v>1.5945248227903083E-3</v>
      </c>
      <c r="B86" s="6">
        <f t="shared" ref="B86:B149" si="5">(($B$8/($B$6*$B$13))*EXP(-$B$11*A86)*SIN($B$13*A86))*$B$5</f>
        <v>-1.0125452160460453</v>
      </c>
      <c r="C86" s="6">
        <f t="shared" ref="C86:C149" si="6">$B$8-B86-D86</f>
        <v>2.5805127327801003</v>
      </c>
      <c r="D86" s="6">
        <f t="shared" ref="D86:D149" si="7">$B$8*(1-EXP(-$B$11*A86)*(COS($B$13*A86)+($B$11/$B$13)*SIN($B$13*A86)))</f>
        <v>8.4320324832659459</v>
      </c>
    </row>
    <row r="87" spans="1:4" x14ac:dyDescent="0.3">
      <c r="A87" s="7">
        <f t="shared" ref="A87:A118" si="8">A86+$B$17</f>
        <v>1.6194392731464068E-3</v>
      </c>
      <c r="B87" s="6">
        <f t="shared" si="5"/>
        <v>-0.9775036650157557</v>
      </c>
      <c r="C87" s="6">
        <f t="shared" si="6"/>
        <v>3.0415194116324997</v>
      </c>
      <c r="D87" s="6">
        <f t="shared" si="7"/>
        <v>7.9359842533832552</v>
      </c>
    </row>
    <row r="88" spans="1:4" x14ac:dyDescent="0.3">
      <c r="A88" s="7">
        <f t="shared" si="8"/>
        <v>1.6443537235025054E-3</v>
      </c>
      <c r="B88" s="6">
        <f t="shared" si="5"/>
        <v>-0.93686902507699521</v>
      </c>
      <c r="C88" s="6">
        <f t="shared" si="6"/>
        <v>3.478066040401151</v>
      </c>
      <c r="D88" s="6">
        <f t="shared" si="7"/>
        <v>7.4588029846758435</v>
      </c>
    </row>
    <row r="89" spans="1:4" x14ac:dyDescent="0.3">
      <c r="A89" s="7">
        <f t="shared" si="8"/>
        <v>1.669268173858604E-3</v>
      </c>
      <c r="B89" s="6">
        <f t="shared" si="5"/>
        <v>-0.89096107556925674</v>
      </c>
      <c r="C89" s="6">
        <f t="shared" si="6"/>
        <v>3.8877638592184285</v>
      </c>
      <c r="D89" s="6">
        <f t="shared" si="7"/>
        <v>7.003197216350828</v>
      </c>
    </row>
    <row r="90" spans="1:4" x14ac:dyDescent="0.3">
      <c r="A90" s="7">
        <f t="shared" si="8"/>
        <v>1.6941826242147025E-3</v>
      </c>
      <c r="B90" s="6">
        <f t="shared" si="5"/>
        <v>-0.84012815012337172</v>
      </c>
      <c r="C90" s="6">
        <f t="shared" si="6"/>
        <v>4.2684192201205251</v>
      </c>
      <c r="D90" s="6">
        <f t="shared" si="7"/>
        <v>6.5717089300028464</v>
      </c>
    </row>
    <row r="91" spans="1:4" x14ac:dyDescent="0.3">
      <c r="A91" s="7">
        <f t="shared" si="8"/>
        <v>1.7190970745708011E-3</v>
      </c>
      <c r="B91" s="6">
        <f t="shared" si="5"/>
        <v>-0.78474463547299378</v>
      </c>
      <c r="C91" s="6">
        <f t="shared" si="6"/>
        <v>4.6180446967383055</v>
      </c>
      <c r="D91" s="6">
        <f t="shared" si="7"/>
        <v>6.1666999387346877</v>
      </c>
    </row>
    <row r="92" spans="1:4" x14ac:dyDescent="0.3">
      <c r="A92" s="7">
        <f t="shared" si="8"/>
        <v>1.7440115249268996E-3</v>
      </c>
      <c r="B92" s="6">
        <f t="shared" si="5"/>
        <v>-0.72520834059754502</v>
      </c>
      <c r="C92" s="6">
        <f t="shared" si="6"/>
        <v>4.9348687849696571</v>
      </c>
      <c r="D92" s="6">
        <f t="shared" si="7"/>
        <v>5.790339555627888</v>
      </c>
    </row>
    <row r="93" spans="1:4" x14ac:dyDescent="0.3">
      <c r="A93" s="7">
        <f t="shared" si="8"/>
        <v>1.7689259752829982E-3</v>
      </c>
      <c r="B93" s="6">
        <f t="shared" si="5"/>
        <v>-0.66193775402272337</v>
      </c>
      <c r="C93" s="6">
        <f t="shared" si="6"/>
        <v>5.2173441522665414</v>
      </c>
      <c r="D93" s="6">
        <f t="shared" si="7"/>
        <v>5.444593601756182</v>
      </c>
    </row>
    <row r="94" spans="1:4" x14ac:dyDescent="0.3">
      <c r="A94" s="7">
        <f t="shared" si="8"/>
        <v>1.7938404256390968E-3</v>
      </c>
      <c r="B94" s="6">
        <f t="shared" si="5"/>
        <v>-0.59536920757359779</v>
      </c>
      <c r="C94" s="6">
        <f t="shared" si="6"/>
        <v>5.4641544026428859</v>
      </c>
      <c r="D94" s="6">
        <f t="shared" si="7"/>
        <v>5.1312148049307114</v>
      </c>
    </row>
    <row r="95" spans="1:4" x14ac:dyDescent="0.3">
      <c r="A95" s="7">
        <f t="shared" si="8"/>
        <v>1.8187548759951953E-3</v>
      </c>
      <c r="B95" s="6">
        <f t="shared" si="5"/>
        <v>-0.52595396522556181</v>
      </c>
      <c r="C95" s="6">
        <f t="shared" si="6"/>
        <v>5.674219334068348</v>
      </c>
      <c r="D95" s="6">
        <f t="shared" si="7"/>
        <v>4.8517346311572132</v>
      </c>
    </row>
    <row r="96" spans="1:4" x14ac:dyDescent="0.3">
      <c r="A96" s="7">
        <f t="shared" si="8"/>
        <v>1.8436693263512939E-3</v>
      </c>
      <c r="B96" s="6">
        <f t="shared" si="5"/>
        <v>-0.45415525592944511</v>
      </c>
      <c r="C96" s="6">
        <f t="shared" si="6"/>
        <v>5.8466986744970448</v>
      </c>
      <c r="D96" s="6">
        <f t="shared" si="7"/>
        <v>4.6074565814324</v>
      </c>
    </row>
    <row r="97" spans="1:4" x14ac:dyDescent="0.3">
      <c r="A97" s="7">
        <f t="shared" si="8"/>
        <v>1.8685837767073925E-3</v>
      </c>
      <c r="B97" s="6">
        <f t="shared" si="5"/>
        <v>-0.3804452693988003</v>
      </c>
      <c r="C97" s="6">
        <f t="shared" si="6"/>
        <v>5.9809942923308466</v>
      </c>
      <c r="D97" s="6">
        <f t="shared" si="7"/>
        <v>4.3994509770679535</v>
      </c>
    </row>
    <row r="98" spans="1:4" x14ac:dyDescent="0.3">
      <c r="A98" s="7">
        <f t="shared" si="8"/>
        <v>1.893498227063491E-3</v>
      </c>
      <c r="B98" s="6">
        <f t="shared" si="5"/>
        <v>-0.30530213384067606</v>
      </c>
      <c r="C98" s="6">
        <f t="shared" si="6"/>
        <v>6.0767508865748416</v>
      </c>
      <c r="D98" s="6">
        <f t="shared" si="7"/>
        <v>4.2285512472658349</v>
      </c>
    </row>
    <row r="99" spans="1:4" x14ac:dyDescent="0.3">
      <c r="A99" s="7">
        <f t="shared" si="8"/>
        <v>1.9184126774195896E-3</v>
      </c>
      <c r="B99" s="6">
        <f t="shared" si="5"/>
        <v>-0.22920689448755216</v>
      </c>
      <c r="C99" s="6">
        <f t="shared" si="6"/>
        <v>6.1338551712510334</v>
      </c>
      <c r="D99" s="6">
        <f t="shared" si="7"/>
        <v>4.0953517232365186</v>
      </c>
    </row>
    <row r="100" spans="1:4" x14ac:dyDescent="0.3">
      <c r="A100" s="7">
        <f t="shared" si="8"/>
        <v>1.9433271277756882E-3</v>
      </c>
      <c r="B100" s="6">
        <f t="shared" si="5"/>
        <v>-0.15264051154967392</v>
      </c>
      <c r="C100" s="6">
        <f t="shared" si="6"/>
        <v>6.1524335777399148</v>
      </c>
      <c r="D100" s="6">
        <f t="shared" si="7"/>
        <v>4.0002069338097588</v>
      </c>
    </row>
    <row r="101" spans="1:4" x14ac:dyDescent="0.3">
      <c r="A101" s="7">
        <f t="shared" si="8"/>
        <v>1.9682415781317867E-3</v>
      </c>
      <c r="B101" s="6">
        <f t="shared" si="5"/>
        <v>-7.6080895856827827E-2</v>
      </c>
      <c r="C101" s="6">
        <f t="shared" si="6"/>
        <v>6.1328485075643364</v>
      </c>
      <c r="D101" s="6">
        <f t="shared" si="7"/>
        <v>3.9432323882924916</v>
      </c>
    </row>
    <row r="102" spans="1:4" x14ac:dyDescent="0.3">
      <c r="A102" s="7">
        <f t="shared" si="8"/>
        <v>1.9931560284878855E-3</v>
      </c>
      <c r="B102" s="6">
        <f t="shared" si="5"/>
        <v>-2.8038535353893424E-15</v>
      </c>
      <c r="C102" s="6">
        <f t="shared" si="6"/>
        <v>6.0756931766649993</v>
      </c>
      <c r="D102" s="6">
        <f t="shared" si="7"/>
        <v>3.9243068233350042</v>
      </c>
    </row>
    <row r="103" spans="1:4" x14ac:dyDescent="0.3">
      <c r="A103" s="7">
        <f t="shared" si="8"/>
        <v>2.0180704788439843E-3</v>
      </c>
      <c r="B103" s="6">
        <f t="shared" si="5"/>
        <v>7.5139017779253012E-2</v>
      </c>
      <c r="C103" s="6">
        <f t="shared" si="6"/>
        <v>5.9817851003929867</v>
      </c>
      <c r="D103" s="6">
        <f t="shared" si="7"/>
        <v>3.94307588182776</v>
      </c>
    </row>
    <row r="104" spans="1:4" x14ac:dyDescent="0.3">
      <c r="A104" s="7">
        <f t="shared" si="8"/>
        <v>2.0429849292000831E-3</v>
      </c>
      <c r="B104" s="6">
        <f t="shared" si="5"/>
        <v>0.14888454036607088</v>
      </c>
      <c r="C104" s="6">
        <f t="shared" si="6"/>
        <v>5.8521582762161861</v>
      </c>
      <c r="D104" s="6">
        <f t="shared" si="7"/>
        <v>3.9989571834177431</v>
      </c>
    </row>
    <row r="105" spans="1:4" x14ac:dyDescent="0.3">
      <c r="A105" s="7">
        <f t="shared" si="8"/>
        <v>2.0678993795561818E-3</v>
      </c>
      <c r="B105" s="6">
        <f t="shared" si="5"/>
        <v>0.22079913338649382</v>
      </c>
      <c r="C105" s="6">
        <f t="shared" si="6"/>
        <v>5.6880541284601644</v>
      </c>
      <c r="D105" s="6">
        <f t="shared" si="7"/>
        <v>4.0911467381533413</v>
      </c>
    </row>
    <row r="106" spans="1:4" x14ac:dyDescent="0.3">
      <c r="A106" s="7">
        <f t="shared" si="8"/>
        <v>2.0928138299122806E-3</v>
      </c>
      <c r="B106" s="6">
        <f t="shared" si="5"/>
        <v>0.29046206667345381</v>
      </c>
      <c r="C106" s="6">
        <f t="shared" si="6"/>
        <v>5.4909112862406166</v>
      </c>
      <c r="D106" s="6">
        <f t="shared" si="7"/>
        <v>4.2186266470859293</v>
      </c>
    </row>
    <row r="107" spans="1:4" x14ac:dyDescent="0.3">
      <c r="A107" s="7">
        <f t="shared" si="8"/>
        <v>2.1177282802683794E-3</v>
      </c>
      <c r="B107" s="6">
        <f t="shared" si="5"/>
        <v>0.35747170152557151</v>
      </c>
      <c r="C107" s="6">
        <f t="shared" si="6"/>
        <v>5.262354272057685</v>
      </c>
      <c r="D107" s="6">
        <f t="shared" si="7"/>
        <v>4.3801740264167428</v>
      </c>
    </row>
    <row r="108" spans="1:4" x14ac:dyDescent="0.3">
      <c r="A108" s="7">
        <f t="shared" si="8"/>
        <v>2.1426427306244782E-3</v>
      </c>
      <c r="B108" s="6">
        <f t="shared" si="5"/>
        <v>0.42144773070135771</v>
      </c>
      <c r="C108" s="6">
        <f t="shared" si="6"/>
        <v>5.0041811842797088</v>
      </c>
      <c r="D108" s="6">
        <f t="shared" si="7"/>
        <v>4.5743710850189334</v>
      </c>
    </row>
    <row r="109" spans="1:4" x14ac:dyDescent="0.3">
      <c r="A109" s="7">
        <f t="shared" si="8"/>
        <v>2.167557180980577E-3</v>
      </c>
      <c r="B109" s="6">
        <f t="shared" si="5"/>
        <v>0.48203325916102324</v>
      </c>
      <c r="C109" s="6">
        <f t="shared" si="6"/>
        <v>4.7183504619170318</v>
      </c>
      <c r="D109" s="6">
        <f t="shared" si="7"/>
        <v>4.7996162789219454</v>
      </c>
    </row>
    <row r="110" spans="1:4" x14ac:dyDescent="0.3">
      <c r="A110" s="7">
        <f t="shared" si="8"/>
        <v>2.1924716313366757E-3</v>
      </c>
      <c r="B110" s="6">
        <f t="shared" si="5"/>
        <v>0.53889671469840961</v>
      </c>
      <c r="C110" s="6">
        <f t="shared" si="6"/>
        <v>4.4069668246501559</v>
      </c>
      <c r="D110" s="6">
        <f t="shared" si="7"/>
        <v>5.0541364606514341</v>
      </c>
    </row>
    <row r="111" spans="1:4" x14ac:dyDescent="0.3">
      <c r="A111" s="7">
        <f t="shared" si="8"/>
        <v>2.2173860816927745E-3</v>
      </c>
      <c r="B111" s="6">
        <f t="shared" si="5"/>
        <v>0.59173357878878108</v>
      </c>
      <c r="C111" s="6">
        <f t="shared" si="6"/>
        <v>4.0722664850108954</v>
      </c>
      <c r="D111" s="6">
        <f t="shared" si="7"/>
        <v>5.3359999362003228</v>
      </c>
    </row>
    <row r="112" spans="1:4" x14ac:dyDescent="0.3">
      <c r="A112" s="7">
        <f t="shared" si="8"/>
        <v>2.2423005320488733E-3</v>
      </c>
      <c r="B112" s="6">
        <f t="shared" si="5"/>
        <v>0.6402679292064809</v>
      </c>
      <c r="C112" s="6">
        <f t="shared" si="6"/>
        <v>3.716601732903019</v>
      </c>
      <c r="D112" s="6">
        <f t="shared" si="7"/>
        <v>5.6431303378905007</v>
      </c>
    </row>
    <row r="113" spans="1:4" x14ac:dyDescent="0.3">
      <c r="A113" s="7">
        <f t="shared" si="8"/>
        <v>2.2672149824049721E-3</v>
      </c>
      <c r="B113" s="6">
        <f t="shared" si="5"/>
        <v>0.68425378723155461</v>
      </c>
      <c r="C113" s="6">
        <f t="shared" si="6"/>
        <v>3.3424249952786003</v>
      </c>
      <c r="D113" s="6">
        <f t="shared" si="7"/>
        <v>5.9733212174898451</v>
      </c>
    </row>
    <row r="114" spans="1:4" x14ac:dyDescent="0.3">
      <c r="A114" s="7">
        <f t="shared" si="8"/>
        <v>2.2921294327610709E-3</v>
      </c>
      <c r="B114" s="6">
        <f t="shared" si="5"/>
        <v>0.72347626355818684</v>
      </c>
      <c r="C114" s="6">
        <f t="shared" si="6"/>
        <v>2.9522724757493251</v>
      </c>
      <c r="D114" s="6">
        <f t="shared" si="7"/>
        <v>6.3242512606924883</v>
      </c>
    </row>
    <row r="115" spans="1:4" x14ac:dyDescent="0.3">
      <c r="A115" s="7">
        <f t="shared" si="8"/>
        <v>2.3170438831171696E-3</v>
      </c>
      <c r="B115" s="6">
        <f t="shared" si="5"/>
        <v>0.75775249833178049</v>
      </c>
      <c r="C115" s="6">
        <f t="shared" si="6"/>
        <v>2.5487474802048835</v>
      </c>
      <c r="D115" s="6">
        <f t="shared" si="7"/>
        <v>6.6935000214633353</v>
      </c>
    </row>
    <row r="116" spans="1:4" x14ac:dyDescent="0.3">
      <c r="A116" s="7">
        <f t="shared" si="8"/>
        <v>2.3419583334732684E-3</v>
      </c>
      <c r="B116" s="6">
        <f t="shared" si="5"/>
        <v>0.78693239206746746</v>
      </c>
      <c r="C116" s="6">
        <f t="shared" si="6"/>
        <v>2.1345035351332964</v>
      </c>
      <c r="D116" s="6">
        <f t="shared" si="7"/>
        <v>7.0785640727992369</v>
      </c>
    </row>
    <row r="117" spans="1:4" x14ac:dyDescent="0.3">
      <c r="A117" s="7">
        <f t="shared" si="8"/>
        <v>2.3668727838293672E-3</v>
      </c>
      <c r="B117" s="6">
        <f t="shared" si="5"/>
        <v>0.81089912553237808</v>
      </c>
      <c r="C117" s="6">
        <f t="shared" si="6"/>
        <v>1.7122274052952751</v>
      </c>
      <c r="D117" s="6">
        <f t="shared" si="7"/>
        <v>7.4768734691723466</v>
      </c>
    </row>
    <row r="118" spans="1:4" x14ac:dyDescent="0.3">
      <c r="A118" s="7">
        <f t="shared" si="8"/>
        <v>2.391787234185466E-3</v>
      </c>
      <c r="B118" s="6">
        <f t="shared" si="5"/>
        <v>0.82956946799888687</v>
      </c>
      <c r="C118" s="6">
        <f t="shared" si="6"/>
        <v>1.2846221167049858</v>
      </c>
      <c r="D118" s="6">
        <f t="shared" si="7"/>
        <v>7.8858084152961272</v>
      </c>
    </row>
    <row r="119" spans="1:4" x14ac:dyDescent="0.3">
      <c r="A119" s="7">
        <f t="shared" ref="A119:A150" si="9">A118+$B$17</f>
        <v>2.4167016845415648E-3</v>
      </c>
      <c r="B119" s="6">
        <f t="shared" si="5"/>
        <v>0.84289387458823994</v>
      </c>
      <c r="C119" s="6">
        <f t="shared" si="6"/>
        <v>0.85439008952502071</v>
      </c>
      <c r="D119" s="6">
        <f t="shared" si="7"/>
        <v>8.3027160358867391</v>
      </c>
    </row>
    <row r="120" spans="1:4" x14ac:dyDescent="0.3">
      <c r="A120" s="7">
        <f t="shared" si="9"/>
        <v>2.4416161348976635E-3</v>
      </c>
      <c r="B120" s="6">
        <f t="shared" si="5"/>
        <v>0.85085637471542086</v>
      </c>
      <c r="C120" s="6">
        <f t="shared" si="6"/>
        <v>0.42421648351086105</v>
      </c>
      <c r="D120" s="6">
        <f t="shared" si="7"/>
        <v>8.7249271417737173</v>
      </c>
    </row>
    <row r="121" spans="1:4" x14ac:dyDescent="0.3">
      <c r="A121" s="7">
        <f t="shared" si="9"/>
        <v>2.4665305852537623E-3</v>
      </c>
      <c r="B121" s="6">
        <f t="shared" si="5"/>
        <v>0.85347425490922224</v>
      </c>
      <c r="C121" s="6">
        <f t="shared" si="6"/>
        <v>-3.2471439411665415E-3</v>
      </c>
      <c r="D121" s="6">
        <f t="shared" si="7"/>
        <v>9.1497728890319436</v>
      </c>
    </row>
    <row r="122" spans="1:4" x14ac:dyDescent="0.3">
      <c r="A122" s="7">
        <f t="shared" si="9"/>
        <v>2.4914450356098611E-3</v>
      </c>
      <c r="B122" s="6">
        <f t="shared" si="5"/>
        <v>0.85079754050875811</v>
      </c>
      <c r="C122" s="6">
        <f t="shared" si="6"/>
        <v>-0.42539877025443396</v>
      </c>
      <c r="D122" s="6">
        <f t="shared" si="7"/>
        <v>9.5746012297456762</v>
      </c>
    </row>
    <row r="123" spans="1:4" x14ac:dyDescent="0.3">
      <c r="A123" s="7">
        <f t="shared" si="9"/>
        <v>2.5163594859659599E-3</v>
      </c>
      <c r="B123" s="6">
        <f t="shared" si="5"/>
        <v>0.8429082819219651</v>
      </c>
      <c r="C123" s="6">
        <f t="shared" si="6"/>
        <v>-0.83970133747722286</v>
      </c>
      <c r="D123" s="6">
        <f t="shared" si="7"/>
        <v>9.9967930555552584</v>
      </c>
    </row>
    <row r="124" spans="1:4" x14ac:dyDescent="0.3">
      <c r="A124" s="7">
        <f t="shared" si="9"/>
        <v>2.5412739363220587E-3</v>
      </c>
      <c r="B124" s="6">
        <f t="shared" si="5"/>
        <v>0.82991965226626141</v>
      </c>
      <c r="C124" s="6">
        <f t="shared" si="6"/>
        <v>-1.2436975905214602</v>
      </c>
      <c r="D124" s="6">
        <f t="shared" si="7"/>
        <v>10.413777938255199</v>
      </c>
    </row>
    <row r="125" spans="1:4" x14ac:dyDescent="0.3">
      <c r="A125" s="7">
        <f t="shared" si="9"/>
        <v>2.5661883866781574E-3</v>
      </c>
      <c r="B125" s="6">
        <f t="shared" si="5"/>
        <v>0.81197486429003085</v>
      </c>
      <c r="C125" s="6">
        <f t="shared" si="6"/>
        <v>-1.6350242396717363</v>
      </c>
      <c r="D125" s="6">
        <f t="shared" si="7"/>
        <v>10.823049375381705</v>
      </c>
    </row>
    <row r="126" spans="1:4" x14ac:dyDescent="0.3">
      <c r="A126" s="7">
        <f t="shared" si="9"/>
        <v>2.5911028370342562E-3</v>
      </c>
      <c r="B126" s="6">
        <f t="shared" si="5"/>
        <v>0.78924591549006573</v>
      </c>
      <c r="C126" s="6">
        <f t="shared" si="6"/>
        <v>-2.0114253684096877</v>
      </c>
      <c r="D126" s="6">
        <f t="shared" si="7"/>
        <v>11.222179452919622</v>
      </c>
    </row>
    <row r="127" spans="1:4" x14ac:dyDescent="0.3">
      <c r="A127" s="7">
        <f t="shared" si="9"/>
        <v>2.616017287390355E-3</v>
      </c>
      <c r="B127" s="6">
        <f t="shared" si="5"/>
        <v>0.76193217128900104</v>
      </c>
      <c r="C127" s="6">
        <f t="shared" si="6"/>
        <v>-2.3707650132294127</v>
      </c>
      <c r="D127" s="6">
        <f t="shared" si="7"/>
        <v>11.608832841940412</v>
      </c>
    </row>
    <row r="128" spans="1:4" x14ac:dyDescent="0.3">
      <c r="A128" s="7">
        <f t="shared" si="9"/>
        <v>2.6409317377464538E-3</v>
      </c>
      <c r="B128" s="6">
        <f t="shared" si="5"/>
        <v>0.7302587970131208</v>
      </c>
      <c r="C128" s="6">
        <f t="shared" si="6"/>
        <v>-2.7110388481323682</v>
      </c>
      <c r="D128" s="6">
        <f t="shared" si="7"/>
        <v>11.980780051119247</v>
      </c>
    </row>
    <row r="129" spans="1:4" x14ac:dyDescent="0.3">
      <c r="A129" s="7">
        <f t="shared" si="9"/>
        <v>2.6658461881025526E-3</v>
      </c>
      <c r="B129" s="6">
        <f t="shared" si="5"/>
        <v>0.69447505021019285</v>
      </c>
      <c r="C129" s="6">
        <f t="shared" si="6"/>
        <v>-3.0303849128438287</v>
      </c>
      <c r="D129" s="6">
        <f t="shared" si="7"/>
        <v>12.335909862633637</v>
      </c>
    </row>
    <row r="130" spans="1:4" x14ac:dyDescent="0.3">
      <c r="A130" s="7">
        <f t="shared" si="9"/>
        <v>2.6907606384586513E-3</v>
      </c>
      <c r="B130" s="6">
        <f t="shared" si="5"/>
        <v>0.65485244556519395</v>
      </c>
      <c r="C130" s="6">
        <f t="shared" si="6"/>
        <v>-3.3270933304437342</v>
      </c>
      <c r="D130" s="6">
        <f t="shared" si="7"/>
        <v>12.672240884878541</v>
      </c>
    </row>
    <row r="131" spans="1:4" x14ac:dyDescent="0.3">
      <c r="A131" s="7">
        <f t="shared" si="9"/>
        <v>2.7156750888147501E-3</v>
      </c>
      <c r="B131" s="6">
        <f t="shared" si="5"/>
        <v>0.61168280530558461</v>
      </c>
      <c r="C131" s="6">
        <f t="shared" si="6"/>
        <v>-3.5996149670076623</v>
      </c>
      <c r="D131" s="6">
        <f t="shared" si="7"/>
        <v>12.987932161702078</v>
      </c>
    </row>
    <row r="132" spans="1:4" x14ac:dyDescent="0.3">
      <c r="A132" s="7">
        <f t="shared" si="9"/>
        <v>2.7405895391708489E-3</v>
      </c>
      <c r="B132" s="6">
        <f t="shared" si="5"/>
        <v>0.56527620853418181</v>
      </c>
      <c r="C132" s="6">
        <f t="shared" si="6"/>
        <v>-3.8465689929640572</v>
      </c>
      <c r="D132" s="6">
        <f t="shared" si="7"/>
        <v>13.281292784429874</v>
      </c>
    </row>
    <row r="133" spans="1:4" x14ac:dyDescent="0.3">
      <c r="A133" s="7">
        <f t="shared" si="9"/>
        <v>2.7655039895269477E-3</v>
      </c>
      <c r="B133" s="6">
        <f t="shared" si="5"/>
        <v>0.51595885338451442</v>
      </c>
      <c r="C133" s="6">
        <f t="shared" si="6"/>
        <v>-4.0667493131439283</v>
      </c>
      <c r="D133" s="6">
        <f t="shared" si="7"/>
        <v>13.550790459759414</v>
      </c>
    </row>
    <row r="134" spans="1:4" x14ac:dyDescent="0.3">
      <c r="A134" s="7">
        <f t="shared" si="9"/>
        <v>2.7904184398830465E-3</v>
      </c>
      <c r="B134" s="6">
        <f t="shared" si="5"/>
        <v>0.46407084625901784</v>
      </c>
      <c r="C134" s="6">
        <f t="shared" si="6"/>
        <v>-4.2591298398835331</v>
      </c>
      <c r="D134" s="6">
        <f t="shared" si="7"/>
        <v>13.795058993624515</v>
      </c>
    </row>
    <row r="135" spans="1:4" x14ac:dyDescent="0.3">
      <c r="A135" s="7">
        <f t="shared" si="9"/>
        <v>2.8153328902391452E-3</v>
      </c>
      <c r="B135" s="6">
        <f t="shared" si="5"/>
        <v>0.40996393268346587</v>
      </c>
      <c r="C135" s="6">
        <f t="shared" si="6"/>
        <v>-4.4228685909910244</v>
      </c>
      <c r="D135" s="6">
        <f t="shared" si="7"/>
        <v>14.012904658307558</v>
      </c>
    </row>
    <row r="136" spans="1:4" x14ac:dyDescent="0.3">
      <c r="A136" s="7">
        <f t="shared" si="9"/>
        <v>2.840247340595244E-3</v>
      </c>
      <c r="B136" s="6">
        <f t="shared" si="5"/>
        <v>0.35399918449108231</v>
      </c>
      <c r="C136" s="6">
        <f t="shared" si="6"/>
        <v>-4.5573106018587861</v>
      </c>
      <c r="D136" s="6">
        <f t="shared" si="7"/>
        <v>14.203311417367704</v>
      </c>
    </row>
    <row r="137" spans="1:4" x14ac:dyDescent="0.3">
      <c r="A137" s="7">
        <f t="shared" si="9"/>
        <v>2.8651617909513428E-3</v>
      </c>
      <c r="B137" s="6">
        <f t="shared" si="5"/>
        <v>0.29654465813687847</v>
      </c>
      <c r="C137" s="6">
        <f t="shared" si="6"/>
        <v>-4.6619896484473724</v>
      </c>
      <c r="D137" s="6">
        <f t="shared" si="7"/>
        <v>14.365444990310493</v>
      </c>
    </row>
    <row r="138" spans="1:4" x14ac:dyDescent="0.3">
      <c r="A138" s="7">
        <f t="shared" si="9"/>
        <v>2.8900762413074416E-3</v>
      </c>
      <c r="B138" s="6">
        <f t="shared" si="5"/>
        <v>0.23797303893753302</v>
      </c>
      <c r="C138" s="6">
        <f t="shared" si="6"/>
        <v>-4.7366287852391356</v>
      </c>
      <c r="D138" s="6">
        <f t="shared" si="7"/>
        <v>14.498655746301603</v>
      </c>
    </row>
    <row r="139" spans="1:4" x14ac:dyDescent="0.3">
      <c r="A139" s="7">
        <f t="shared" si="9"/>
        <v>2.9149906916635404E-3</v>
      </c>
      <c r="B139" s="6">
        <f t="shared" si="5"/>
        <v>0.17865928593574906</v>
      </c>
      <c r="C139" s="6">
        <f t="shared" si="6"/>
        <v>-4.7811397095153403</v>
      </c>
      <c r="D139" s="6">
        <f t="shared" si="7"/>
        <v>14.602480423579591</v>
      </c>
    </row>
    <row r="140" spans="1:4" x14ac:dyDescent="0.3">
      <c r="A140" s="7">
        <f t="shared" si="9"/>
        <v>2.9399051420196391E-3</v>
      </c>
      <c r="B140" s="6">
        <f t="shared" si="5"/>
        <v>0.11897829190217386</v>
      </c>
      <c r="C140" s="6">
        <f t="shared" si="6"/>
        <v>-4.795620970406496</v>
      </c>
      <c r="D140" s="6">
        <f t="shared" si="7"/>
        <v>14.676642678504322</v>
      </c>
    </row>
    <row r="141" spans="1:4" x14ac:dyDescent="0.3">
      <c r="A141" s="7">
        <f t="shared" si="9"/>
        <v>2.9648195923757379E-3</v>
      </c>
      <c r="B141" s="6">
        <f t="shared" si="5"/>
        <v>5.9302572715010993E-2</v>
      </c>
      <c r="C141" s="6">
        <f t="shared" si="6"/>
        <v>-4.7803550480598034</v>
      </c>
      <c r="D141" s="6">
        <f t="shared" si="7"/>
        <v>14.721052475344793</v>
      </c>
    </row>
    <row r="142" spans="1:4" x14ac:dyDescent="0.3">
      <c r="A142" s="7">
        <f t="shared" si="9"/>
        <v>2.9897340427318367E-3</v>
      </c>
      <c r="B142" s="6">
        <f t="shared" si="5"/>
        <v>-1.7069896179840517E-14</v>
      </c>
      <c r="C142" s="6">
        <f t="shared" si="6"/>
        <v>-4.7358043349203491</v>
      </c>
      <c r="D142" s="6">
        <f t="shared" si="7"/>
        <v>14.735804334920367</v>
      </c>
    </row>
    <row r="143" spans="1:4" x14ac:dyDescent="0.3">
      <c r="A143" s="7">
        <f t="shared" si="9"/>
        <v>3.0146484930879355E-3</v>
      </c>
      <c r="B143" s="6">
        <f t="shared" si="5"/>
        <v>-5.8568409525262093E-2</v>
      </c>
      <c r="C143" s="6">
        <f t="shared" si="6"/>
        <v>-4.6626060574956156</v>
      </c>
      <c r="D143" s="6">
        <f t="shared" si="7"/>
        <v>14.721174467020878</v>
      </c>
    </row>
    <row r="144" spans="1:4" x14ac:dyDescent="0.3">
      <c r="A144" s="7">
        <f t="shared" si="9"/>
        <v>3.0395629434440343E-3</v>
      </c>
      <c r="B144" s="6">
        <f t="shared" si="5"/>
        <v>-0.11605063507426867</v>
      </c>
      <c r="C144" s="6">
        <f t="shared" si="6"/>
        <v>-4.5615661830305481</v>
      </c>
      <c r="D144" s="6">
        <f t="shared" si="7"/>
        <v>14.677616818104816</v>
      </c>
    </row>
    <row r="145" spans="1:4" x14ac:dyDescent="0.3">
      <c r="A145" s="7">
        <f t="shared" si="9"/>
        <v>3.064477393800133E-3</v>
      </c>
      <c r="B145" s="6">
        <f t="shared" si="5"/>
        <v>-0.172105710843762</v>
      </c>
      <c r="C145" s="6">
        <f t="shared" si="6"/>
        <v>-4.4336523612288978</v>
      </c>
      <c r="D145" s="6">
        <f t="shared" si="7"/>
        <v>14.605758072072661</v>
      </c>
    </row>
    <row r="146" spans="1:4" x14ac:dyDescent="0.3">
      <c r="A146" s="7">
        <f t="shared" si="9"/>
        <v>3.0893918441562318E-3</v>
      </c>
      <c r="B146" s="6">
        <f t="shared" si="5"/>
        <v>-0.2264056914140021</v>
      </c>
      <c r="C146" s="6">
        <f t="shared" si="6"/>
        <v>-4.2799859564855325</v>
      </c>
      <c r="D146" s="6">
        <f t="shared" si="7"/>
        <v>14.506391647899534</v>
      </c>
    </row>
    <row r="147" spans="1:4" x14ac:dyDescent="0.3">
      <c r="A147" s="7">
        <f t="shared" si="9"/>
        <v>3.1143062945123306E-3</v>
      </c>
      <c r="B147" s="6">
        <f t="shared" si="5"/>
        <v>-0.27863751253902574</v>
      </c>
      <c r="C147" s="6">
        <f t="shared" si="6"/>
        <v>-4.1018332310152523</v>
      </c>
      <c r="D147" s="6">
        <f t="shared" si="7"/>
        <v>14.380470743554278</v>
      </c>
    </row>
    <row r="148" spans="1:4" x14ac:dyDescent="0.3">
      <c r="A148" s="7">
        <f t="shared" si="9"/>
        <v>3.1392207448684294E-3</v>
      </c>
      <c r="B148" s="6">
        <f t="shared" si="5"/>
        <v>-0.3285047371489393</v>
      </c>
      <c r="C148" s="6">
        <f t="shared" si="6"/>
        <v>-3.9005957437513104</v>
      </c>
      <c r="D148" s="6">
        <f t="shared" si="7"/>
        <v>14.22910048090025</v>
      </c>
    </row>
    <row r="149" spans="1:4" x14ac:dyDescent="0.3">
      <c r="A149" s="7">
        <f t="shared" si="9"/>
        <v>3.1641351952245282E-3</v>
      </c>
      <c r="B149" s="6">
        <f t="shared" si="5"/>
        <v>-0.37572917722018939</v>
      </c>
      <c r="C149" s="6">
        <f t="shared" si="6"/>
        <v>-3.6778000339189632</v>
      </c>
      <c r="D149" s="6">
        <f t="shared" si="7"/>
        <v>14.053529211139153</v>
      </c>
    </row>
    <row r="150" spans="1:4" x14ac:dyDescent="0.3">
      <c r="A150" s="7">
        <f t="shared" si="9"/>
        <v>3.1890496455806269E-3</v>
      </c>
      <c r="B150" s="6">
        <f t="shared" ref="B150:B213" si="10">(($B$8/($B$6*$B$13))*EXP(-$B$11*A150)*SIN($B$13*A150))*$B$5</f>
        <v>-0.42005238305072451</v>
      </c>
      <c r="C150" s="6">
        <f t="shared" ref="C150:C213" si="11">$B$8-B150-D150</f>
        <v>-3.4350866617467979</v>
      </c>
      <c r="D150" s="6">
        <f t="shared" ref="D150:D213" si="12">$B$8*(1-EXP(-$B$11*A150)*(COS($B$13*A150)+($B$11/$B$13)*SIN($B$13*A150)))</f>
        <v>13.855139044797522</v>
      </c>
    </row>
    <row r="151" spans="1:4" x14ac:dyDescent="0.3">
      <c r="A151" s="7">
        <f t="shared" ref="A151:A182" si="13">A150+$B$17</f>
        <v>3.2139640959367257E-3</v>
      </c>
      <c r="B151" s="6">
        <f t="shared" si="10"/>
        <v>-0.46123699239930321</v>
      </c>
      <c r="C151" s="6">
        <f t="shared" si="11"/>
        <v>-3.1741986818450503</v>
      </c>
      <c r="D151" s="6">
        <f t="shared" si="12"/>
        <v>13.635435674244354</v>
      </c>
    </row>
    <row r="152" spans="1:4" x14ac:dyDescent="0.3">
      <c r="A152" s="7">
        <f t="shared" si="13"/>
        <v>3.2388785462928245E-3</v>
      </c>
      <c r="B152" s="6">
        <f t="shared" si="10"/>
        <v>-0.49906793290555879</v>
      </c>
      <c r="C152" s="6">
        <f t="shared" si="11"/>
        <v>-2.8969696273430845</v>
      </c>
      <c r="D152" s="6">
        <f t="shared" si="12"/>
        <v>13.396037560248644</v>
      </c>
    </row>
    <row r="153" spans="1:4" x14ac:dyDescent="0.3">
      <c r="A153" s="7">
        <f t="shared" si="13"/>
        <v>3.2637929966489233E-3</v>
      </c>
      <c r="B153" s="6">
        <f t="shared" si="10"/>
        <v>-0.53335347219355023</v>
      </c>
      <c r="C153" s="6">
        <f t="shared" si="11"/>
        <v>-2.6053110849278802</v>
      </c>
      <c r="D153" s="6">
        <f t="shared" si="12"/>
        <v>13.13866455712143</v>
      </c>
    </row>
    <row r="154" spans="1:4" x14ac:dyDescent="0.3">
      <c r="A154" s="7">
        <f t="shared" si="13"/>
        <v>3.2887074470050221E-3</v>
      </c>
      <c r="B154" s="6">
        <f t="shared" si="10"/>
        <v>-0.56392611106994761</v>
      </c>
      <c r="C154" s="6">
        <f t="shared" si="11"/>
        <v>-2.3011999424555629</v>
      </c>
      <c r="D154" s="6">
        <f t="shared" si="12"/>
        <v>12.865126053525511</v>
      </c>
    </row>
    <row r="155" spans="1:4" x14ac:dyDescent="0.3">
      <c r="A155" s="7">
        <f t="shared" si="13"/>
        <v>3.3136218973611208E-3</v>
      </c>
      <c r="B155" s="6">
        <f t="shared" si="10"/>
        <v>-0.59064331625222544</v>
      </c>
      <c r="C155" s="6">
        <f t="shared" si="11"/>
        <v>-1.9866653918156825</v>
      </c>
      <c r="D155" s="6">
        <f t="shared" si="12"/>
        <v>12.577308708067909</v>
      </c>
    </row>
    <row r="156" spans="1:4" x14ac:dyDescent="0.3">
      <c r="A156" s="7">
        <f t="shared" si="13"/>
        <v>3.3385363477172196E-3</v>
      </c>
      <c r="B156" s="6">
        <f t="shared" si="10"/>
        <v>-0.61338809009576445</v>
      </c>
      <c r="C156" s="6">
        <f t="shared" si="11"/>
        <v>-1.663775770213455</v>
      </c>
      <c r="D156" s="6">
        <f t="shared" si="12"/>
        <v>12.277163860309219</v>
      </c>
    </row>
    <row r="157" spans="1:4" x14ac:dyDescent="0.3">
      <c r="A157" s="7">
        <f t="shared" si="13"/>
        <v>3.3634507980733184E-3</v>
      </c>
      <c r="B157" s="6">
        <f t="shared" si="10"/>
        <v>-0.63206937582509037</v>
      </c>
      <c r="C157" s="6">
        <f t="shared" si="11"/>
        <v>-1.3346253230017666</v>
      </c>
      <c r="D157" s="6">
        <f t="shared" si="12"/>
        <v>11.966694698826856</v>
      </c>
    </row>
    <row r="158" spans="1:4" x14ac:dyDescent="0.3">
      <c r="A158" s="7">
        <f t="shared" si="13"/>
        <v>3.3883652484294172E-3</v>
      </c>
      <c r="B158" s="6">
        <f t="shared" si="10"/>
        <v>-0.6466222978072147</v>
      </c>
      <c r="C158" s="6">
        <f t="shared" si="11"/>
        <v>-1.0013209706492798</v>
      </c>
      <c r="D158" s="6">
        <f t="shared" si="12"/>
        <v>11.647943268456494</v>
      </c>
    </row>
    <row r="159" spans="1:4" x14ac:dyDescent="0.3">
      <c r="A159" s="7">
        <f t="shared" si="13"/>
        <v>3.413279698785516E-3</v>
      </c>
      <c r="B159" s="6">
        <f t="shared" si="10"/>
        <v>-0.65700823742780778</v>
      </c>
      <c r="C159" s="6">
        <f t="shared" si="11"/>
        <v>-0.66596916138315265</v>
      </c>
      <c r="D159" s="6">
        <f t="shared" si="12"/>
        <v>11.322977398810961</v>
      </c>
    </row>
    <row r="160" spans="1:4" x14ac:dyDescent="0.3">
      <c r="A160" s="7">
        <f t="shared" si="13"/>
        <v>3.4381941491416147E-3</v>
      </c>
      <c r="B160" s="6">
        <f t="shared" si="10"/>
        <v>-0.66321474613761688</v>
      </c>
      <c r="C160" s="6">
        <f t="shared" si="11"/>
        <v>-0.33066288950712064</v>
      </c>
      <c r="D160" s="6">
        <f t="shared" si="12"/>
        <v>10.993877635644738</v>
      </c>
    </row>
    <row r="161" spans="1:4" x14ac:dyDescent="0.3">
      <c r="A161" s="7">
        <f t="shared" si="13"/>
        <v>3.4631085994977135E-3</v>
      </c>
      <c r="B161" s="6">
        <f t="shared" si="10"/>
        <v>-0.66525529822107543</v>
      </c>
      <c r="C161" s="6">
        <f t="shared" si="11"/>
        <v>2.5310426162405975E-3</v>
      </c>
      <c r="D161" s="6">
        <f t="shared" si="12"/>
        <v>10.662724255604834</v>
      </c>
    </row>
    <row r="162" spans="1:4" x14ac:dyDescent="0.3">
      <c r="A162" s="7">
        <f t="shared" si="13"/>
        <v>3.4880230498538123E-3</v>
      </c>
      <c r="B162" s="6">
        <f t="shared" si="10"/>
        <v>-0.66316888679566699</v>
      </c>
      <c r="C162" s="6">
        <f t="shared" si="11"/>
        <v>0.3315844433979791</v>
      </c>
      <c r="D162" s="6">
        <f t="shared" si="12"/>
        <v>10.331584443397688</v>
      </c>
    </row>
    <row r="163" spans="1:4" x14ac:dyDescent="0.3">
      <c r="A163" s="7">
        <f t="shared" si="13"/>
        <v>3.5129375002099111E-3</v>
      </c>
      <c r="B163" s="6">
        <f t="shared" si="10"/>
        <v>-0.65701946747374562</v>
      </c>
      <c r="C163" s="6">
        <f t="shared" si="11"/>
        <v>0.65451975905183701</v>
      </c>
      <c r="D163" s="6">
        <f t="shared" si="12"/>
        <v>10.002499708421908</v>
      </c>
    </row>
    <row r="164" spans="1:4" x14ac:dyDescent="0.3">
      <c r="A164" s="7">
        <f t="shared" si="13"/>
        <v>3.5378519505660099E-3</v>
      </c>
      <c r="B164" s="6">
        <f t="shared" si="10"/>
        <v>-0.64689525500290967</v>
      </c>
      <c r="C164" s="6">
        <f t="shared" si="11"/>
        <v>0.96942163951655758</v>
      </c>
      <c r="D164" s="6">
        <f t="shared" si="12"/>
        <v>9.6774736154863525</v>
      </c>
    </row>
    <row r="165" spans="1:4" x14ac:dyDescent="0.3">
      <c r="A165" s="7">
        <f t="shared" si="13"/>
        <v>3.5627664009221086E-3</v>
      </c>
      <c r="B165" s="6">
        <f t="shared" si="10"/>
        <v>-0.63290787904168389</v>
      </c>
      <c r="C165" s="6">
        <f t="shared" si="11"/>
        <v>1.2744479776689754</v>
      </c>
      <c r="D165" s="6">
        <f t="shared" si="12"/>
        <v>9.3584599013727079</v>
      </c>
    </row>
    <row r="166" spans="1:4" x14ac:dyDescent="0.3">
      <c r="A166" s="7">
        <f t="shared" si="13"/>
        <v>3.5876808512782074E-3</v>
      </c>
      <c r="B166" s="6">
        <f t="shared" si="10"/>
        <v>-0.61519140601956368</v>
      </c>
      <c r="C166" s="6">
        <f t="shared" si="11"/>
        <v>1.5678403602850715</v>
      </c>
      <c r="D166" s="6">
        <f t="shared" si="12"/>
        <v>9.0473510457344926</v>
      </c>
    </row>
    <row r="167" spans="1:4" x14ac:dyDescent="0.3">
      <c r="A167" s="7">
        <f t="shared" si="13"/>
        <v>3.6125953016343062E-3</v>
      </c>
      <c r="B167" s="6">
        <f t="shared" si="10"/>
        <v>-0.59390123477011303</v>
      </c>
      <c r="C167" s="6">
        <f t="shared" si="11"/>
        <v>1.8479338735951156</v>
      </c>
      <c r="D167" s="6">
        <f t="shared" si="12"/>
        <v>8.7459673611749977</v>
      </c>
    </row>
    <row r="168" spans="1:4" x14ac:dyDescent="0.3">
      <c r="A168" s="7">
        <f t="shared" si="13"/>
        <v>3.637509751990405E-3</v>
      </c>
      <c r="B168" s="6">
        <f t="shared" si="10"/>
        <v>-0.56921287430889445</v>
      </c>
      <c r="C168" s="6">
        <f t="shared" si="11"/>
        <v>2.113166210965689</v>
      </c>
      <c r="D168" s="6">
        <f t="shared" si="12"/>
        <v>8.456046663343205</v>
      </c>
    </row>
    <row r="169" spans="1:4" x14ac:dyDescent="0.3">
      <c r="A169" s="7">
        <f t="shared" si="13"/>
        <v>3.6624242023465038E-3</v>
      </c>
      <c r="B169" s="6">
        <f t="shared" si="10"/>
        <v>-0.54132061275100796</v>
      </c>
      <c r="C169" s="6">
        <f t="shared" si="11"/>
        <v>2.362086035193947</v>
      </c>
      <c r="D169" s="6">
        <f t="shared" si="12"/>
        <v>8.179234577557061</v>
      </c>
    </row>
    <row r="170" spans="1:4" x14ac:dyDescent="0.3">
      <c r="A170" s="7">
        <f t="shared" si="13"/>
        <v>3.6873386527026025E-3</v>
      </c>
      <c r="B170" s="6">
        <f t="shared" si="10"/>
        <v>-0.5104360869228578</v>
      </c>
      <c r="C170" s="6">
        <f t="shared" si="11"/>
        <v>2.5933605530833228</v>
      </c>
      <c r="D170" s="6">
        <f t="shared" si="12"/>
        <v>7.9170755338395358</v>
      </c>
    </row>
    <row r="171" spans="1:4" x14ac:dyDescent="0.3">
      <c r="A171" s="7">
        <f t="shared" si="13"/>
        <v>3.7122531030587013E-3</v>
      </c>
      <c r="B171" s="6">
        <f t="shared" si="10"/>
        <v>-0.47678676271675352</v>
      </c>
      <c r="C171" s="6">
        <f t="shared" si="11"/>
        <v>2.8057822653508024</v>
      </c>
      <c r="D171" s="6">
        <f t="shared" si="12"/>
        <v>7.6710044973659519</v>
      </c>
    </row>
    <row r="172" spans="1:4" x14ac:dyDescent="0.3">
      <c r="A172" s="7">
        <f t="shared" si="13"/>
        <v>3.7371675534148001E-3</v>
      </c>
      <c r="B172" s="6">
        <f t="shared" si="10"/>
        <v>-0.44061433666288385</v>
      </c>
      <c r="C172" s="6">
        <f t="shared" si="11"/>
        <v>2.9982748604578253</v>
      </c>
      <c r="D172" s="6">
        <f t="shared" si="12"/>
        <v>7.442339476205059</v>
      </c>
    </row>
    <row r="173" spans="1:4" x14ac:dyDescent="0.3">
      <c r="A173" s="7">
        <f t="shared" si="13"/>
        <v>3.7620820037708989E-3</v>
      </c>
      <c r="B173" s="6">
        <f t="shared" si="10"/>
        <v>-0.40217306954925891</v>
      </c>
      <c r="C173" s="6">
        <f t="shared" si="11"/>
        <v>3.1698982266239728</v>
      </c>
      <c r="D173" s="6">
        <f t="shared" si="12"/>
        <v>7.2322748429252854</v>
      </c>
    </row>
    <row r="174" spans="1:4" x14ac:dyDescent="0.3">
      <c r="A174" s="7">
        <f t="shared" si="13"/>
        <v>3.7869964541269977E-3</v>
      </c>
      <c r="B174" s="6">
        <f t="shared" si="10"/>
        <v>-0.36172806320511075</v>
      </c>
      <c r="C174" s="6">
        <f t="shared" si="11"/>
        <v>3.3198525620382195</v>
      </c>
      <c r="D174" s="6">
        <f t="shared" si="12"/>
        <v>7.0418755011668903</v>
      </c>
    </row>
    <row r="175" spans="1:4" x14ac:dyDescent="0.3">
      <c r="A175" s="7">
        <f t="shared" si="13"/>
        <v>3.8119109044830964E-3</v>
      </c>
      <c r="B175" s="6">
        <f t="shared" si="10"/>
        <v>-0.31955349177605841</v>
      </c>
      <c r="C175" s="6">
        <f t="shared" si="11"/>
        <v>3.4474815690900389</v>
      </c>
      <c r="D175" s="6">
        <f t="shared" si="12"/>
        <v>6.8720719226860201</v>
      </c>
    </row>
    <row r="176" spans="1:4" x14ac:dyDescent="0.3">
      <c r="A176" s="7">
        <f t="shared" si="13"/>
        <v>3.8368253548391952E-3</v>
      </c>
      <c r="B176" s="6">
        <f t="shared" si="10"/>
        <v>-0.27593079895968059</v>
      </c>
      <c r="C176" s="6">
        <f t="shared" si="11"/>
        <v>3.552274724265855</v>
      </c>
      <c r="D176" s="6">
        <f t="shared" si="12"/>
        <v>6.7236560746938263</v>
      </c>
    </row>
    <row r="177" spans="1:4" x14ac:dyDescent="0.3">
      <c r="A177" s="7">
        <f t="shared" si="13"/>
        <v>3.861739805195294E-3</v>
      </c>
      <c r="B177" s="6">
        <f t="shared" si="10"/>
        <v>-0.23114687273804868</v>
      </c>
      <c r="C177" s="6">
        <f t="shared" si="11"/>
        <v>3.6338686211587232</v>
      </c>
      <c r="D177" s="6">
        <f t="shared" si="12"/>
        <v>6.5972782515793247</v>
      </c>
    </row>
    <row r="178" spans="1:4" x14ac:dyDescent="0.3">
      <c r="A178" s="7">
        <f t="shared" si="13"/>
        <v>3.8866542555513928E-3</v>
      </c>
      <c r="B178" s="6">
        <f t="shared" si="10"/>
        <v>-0.18549220913967737</v>
      </c>
      <c r="C178" s="6">
        <f t="shared" si="11"/>
        <v>3.6920473897856017</v>
      </c>
      <c r="D178" s="6">
        <f t="shared" si="12"/>
        <v>6.4934448193540764</v>
      </c>
    </row>
    <row r="179" spans="1:4" x14ac:dyDescent="0.3">
      <c r="A179" s="7">
        <f t="shared" si="13"/>
        <v>3.9115687059074911E-3</v>
      </c>
      <c r="B179" s="6">
        <f t="shared" si="10"/>
        <v>-0.13925907648823124</v>
      </c>
      <c r="C179" s="6">
        <f t="shared" si="11"/>
        <v>3.7267422010621338</v>
      </c>
      <c r="D179" s="6">
        <f t="shared" si="12"/>
        <v>6.4125168754260979</v>
      </c>
    </row>
    <row r="180" spans="1:4" x14ac:dyDescent="0.3">
      <c r="A180" s="7">
        <f t="shared" si="13"/>
        <v>3.9364831562635899E-3</v>
      </c>
      <c r="B180" s="6">
        <f t="shared" si="10"/>
        <v>-9.2739691450472519E-2</v>
      </c>
      <c r="C180" s="6">
        <f t="shared" si="11"/>
        <v>3.7380298708158985</v>
      </c>
      <c r="D180" s="6">
        <f t="shared" si="12"/>
        <v>6.3547098206345733</v>
      </c>
    </row>
    <row r="181" spans="1:4" x14ac:dyDescent="0.3">
      <c r="A181" s="7">
        <f t="shared" si="13"/>
        <v>3.9613976066196887E-3</v>
      </c>
      <c r="B181" s="6">
        <f t="shared" si="10"/>
        <v>-4.622441798315912E-2</v>
      </c>
      <c r="C181" s="6">
        <f t="shared" si="11"/>
        <v>3.7261305830928597</v>
      </c>
      <c r="D181" s="6">
        <f t="shared" si="12"/>
        <v>6.3200938348903</v>
      </c>
    </row>
    <row r="182" spans="1:4" x14ac:dyDescent="0.3">
      <c r="A182" s="7">
        <f t="shared" si="13"/>
        <v>3.9863120569757875E-3</v>
      </c>
      <c r="B182" s="6">
        <f t="shared" si="10"/>
        <v>2.7794364240957151E-14</v>
      </c>
      <c r="C182" s="6">
        <f t="shared" si="11"/>
        <v>3.6914047576973301</v>
      </c>
      <c r="D182" s="6">
        <f t="shared" si="12"/>
        <v>6.3085952423026415</v>
      </c>
    </row>
    <row r="183" spans="1:4" x14ac:dyDescent="0.3">
      <c r="A183" s="7">
        <f t="shared" ref="A183:A214" si="14">A182+$B$17</f>
        <v>4.0112265073318863E-3</v>
      </c>
      <c r="B183" s="6">
        <f t="shared" si="10"/>
        <v>4.5652161762300261E-2</v>
      </c>
      <c r="C183" s="6">
        <f t="shared" si="11"/>
        <v>3.6343490918733572</v>
      </c>
      <c r="D183" s="6">
        <f t="shared" si="12"/>
        <v>6.3199987463643428</v>
      </c>
    </row>
    <row r="184" spans="1:4" x14ac:dyDescent="0.3">
      <c r="A184" s="7">
        <f t="shared" si="14"/>
        <v>4.036140957687985E-3</v>
      </c>
      <c r="B184" s="6">
        <f t="shared" si="10"/>
        <v>9.0457678601331998E-2</v>
      </c>
      <c r="C184" s="6">
        <f t="shared" si="11"/>
        <v>3.5555918107569706</v>
      </c>
      <c r="D184" s="6">
        <f t="shared" si="12"/>
        <v>6.3539505106416971</v>
      </c>
    </row>
    <row r="185" spans="1:4" x14ac:dyDescent="0.3">
      <c r="A185" s="7">
        <f t="shared" si="14"/>
        <v>4.0610554080440838E-3</v>
      </c>
      <c r="B185" s="6">
        <f t="shared" si="10"/>
        <v>0.1341507788130136</v>
      </c>
      <c r="C185" s="6">
        <f t="shared" si="11"/>
        <v>3.4558871656785879</v>
      </c>
      <c r="D185" s="6">
        <f t="shared" si="12"/>
        <v>6.409962055508398</v>
      </c>
    </row>
    <row r="186" spans="1:4" x14ac:dyDescent="0.3">
      <c r="A186" s="7">
        <f t="shared" si="14"/>
        <v>4.0859698584001826E-3</v>
      </c>
      <c r="B186" s="6">
        <f t="shared" si="10"/>
        <v>0.17647583965681782</v>
      </c>
      <c r="C186" s="6">
        <f t="shared" si="11"/>
        <v>3.3361092235484104</v>
      </c>
      <c r="D186" s="6">
        <f t="shared" si="12"/>
        <v>6.4874149367947709</v>
      </c>
    </row>
    <row r="187" spans="1:4" x14ac:dyDescent="0.3">
      <c r="A187" s="7">
        <f t="shared" si="14"/>
        <v>4.1108843087562814E-3</v>
      </c>
      <c r="B187" s="6">
        <f t="shared" si="10"/>
        <v>0.21718883778099909</v>
      </c>
      <c r="C187" s="6">
        <f t="shared" si="11"/>
        <v>3.1972449943933832</v>
      </c>
      <c r="D187" s="6">
        <f t="shared" si="12"/>
        <v>6.5855661678256183</v>
      </c>
    </row>
    <row r="188" spans="1:4" x14ac:dyDescent="0.3">
      <c r="A188" s="7">
        <f t="shared" si="14"/>
        <v>4.1357987591123802E-3</v>
      </c>
      <c r="B188" s="6">
        <f t="shared" si="10"/>
        <v>0.25605871017434206</v>
      </c>
      <c r="C188" s="6">
        <f t="shared" si="11"/>
        <v>3.0403869476122551</v>
      </c>
      <c r="D188" s="6">
        <f t="shared" si="12"/>
        <v>6.703554342213403</v>
      </c>
    </row>
    <row r="189" spans="1:4" x14ac:dyDescent="0.3">
      <c r="A189" s="7">
        <f t="shared" si="14"/>
        <v>4.1607132094684789E-3</v>
      </c>
      <c r="B189" s="6">
        <f t="shared" si="10"/>
        <v>0.29286861836104394</v>
      </c>
      <c r="C189" s="6">
        <f t="shared" si="11"/>
        <v>2.8667249706582307</v>
      </c>
      <c r="D189" s="6">
        <f t="shared" si="12"/>
        <v>6.8404064109807248</v>
      </c>
    </row>
    <row r="190" spans="1:4" x14ac:dyDescent="0.3">
      <c r="A190" s="7">
        <f t="shared" si="14"/>
        <v>4.1856276598245777E-3</v>
      </c>
      <c r="B190" s="6">
        <f t="shared" si="10"/>
        <v>0.3274171092420517</v>
      </c>
      <c r="C190" s="6">
        <f t="shared" si="11"/>
        <v>2.6775378266314727</v>
      </c>
      <c r="D190" s="6">
        <f t="shared" si="12"/>
        <v>6.995045064126475</v>
      </c>
    </row>
    <row r="191" spans="1:4" x14ac:dyDescent="0.3">
      <c r="A191" s="7">
        <f t="shared" si="14"/>
        <v>4.2105421101806765E-3</v>
      </c>
      <c r="B191" s="6">
        <f t="shared" si="10"/>
        <v>0.35951916670507544</v>
      </c>
      <c r="C191" s="6">
        <f t="shared" si="11"/>
        <v>2.4741841696540909</v>
      </c>
      <c r="D191" s="6">
        <f t="shared" si="12"/>
        <v>7.1662966636408338</v>
      </c>
    </row>
    <row r="192" spans="1:4" x14ac:dyDescent="0.3">
      <c r="A192" s="7">
        <f t="shared" si="14"/>
        <v>4.2354565605367753E-3</v>
      </c>
      <c r="B192" s="6">
        <f t="shared" si="10"/>
        <v>0.38900714887174193</v>
      </c>
      <c r="C192" s="6">
        <f t="shared" si="11"/>
        <v>2.2580931788978766</v>
      </c>
      <c r="D192" s="6">
        <f t="shared" si="12"/>
        <v>7.3528996722303823</v>
      </c>
    </row>
    <row r="193" spans="1:4" x14ac:dyDescent="0.3">
      <c r="A193" s="7">
        <f t="shared" si="14"/>
        <v>4.2603710108928741E-3</v>
      </c>
      <c r="B193" s="6">
        <f t="shared" si="10"/>
        <v>0.41573160661900982</v>
      </c>
      <c r="C193" s="6">
        <f t="shared" si="11"/>
        <v>2.0307548737327252</v>
      </c>
      <c r="D193" s="6">
        <f t="shared" si="12"/>
        <v>7.5535135196482646</v>
      </c>
    </row>
    <row r="194" spans="1:4" x14ac:dyDescent="0.3">
      <c r="A194" s="7">
        <f t="shared" si="14"/>
        <v>4.2852854612489728E-3</v>
      </c>
      <c r="B194" s="6">
        <f t="shared" si="10"/>
        <v>0.4395619797979704</v>
      </c>
      <c r="C194" s="6">
        <f t="shared" si="11"/>
        <v>1.7937101736564518</v>
      </c>
      <c r="D194" s="6">
        <f t="shared" si="12"/>
        <v>7.766727846545578</v>
      </c>
    </row>
    <row r="195" spans="1:4" x14ac:dyDescent="0.3">
      <c r="A195" s="7">
        <f t="shared" si="14"/>
        <v>4.3101999116050716E-3</v>
      </c>
      <c r="B195" s="6">
        <f t="shared" si="10"/>
        <v>0.46038716837153731</v>
      </c>
      <c r="C195" s="6">
        <f t="shared" si="11"/>
        <v>1.5485407674521348</v>
      </c>
      <c r="D195" s="6">
        <f t="shared" si="12"/>
        <v>7.9910720641763273</v>
      </c>
    </row>
    <row r="196" spans="1:4" x14ac:dyDescent="0.3">
      <c r="A196" s="7">
        <f t="shared" si="14"/>
        <v>4.3351143619611704E-3</v>
      </c>
      <c r="B196" s="6">
        <f t="shared" si="10"/>
        <v>0.47811597649810766</v>
      </c>
      <c r="C196" s="6">
        <f t="shared" si="11"/>
        <v>1.2968588563975079</v>
      </c>
      <c r="D196" s="6">
        <f t="shared" si="12"/>
        <v>8.2250251671043841</v>
      </c>
    </row>
    <row r="197" spans="1:4" x14ac:dyDescent="0.3">
      <c r="A197" s="7">
        <f t="shared" si="14"/>
        <v>4.3600288123172692E-3</v>
      </c>
      <c r="B197" s="6">
        <f t="shared" si="10"/>
        <v>0.49267742839607603</v>
      </c>
      <c r="C197" s="6">
        <f t="shared" si="11"/>
        <v>1.0402968363249698</v>
      </c>
      <c r="D197" s="6">
        <f t="shared" si="12"/>
        <v>8.4670257352789537</v>
      </c>
    </row>
    <row r="198" spans="1:4" x14ac:dyDescent="0.3">
      <c r="A198" s="7">
        <f t="shared" si="14"/>
        <v>4.384943262673368E-3</v>
      </c>
      <c r="B198" s="6">
        <f t="shared" si="10"/>
        <v>0.50402095562905058</v>
      </c>
      <c r="C198" s="6">
        <f t="shared" si="11"/>
        <v>0.78049698290558212</v>
      </c>
      <c r="D198" s="6">
        <f t="shared" si="12"/>
        <v>8.7154820614653676</v>
      </c>
    </row>
    <row r="199" spans="1:4" x14ac:dyDescent="0.3">
      <c r="A199" s="7">
        <f t="shared" si="14"/>
        <v>4.4098577130294667E-3</v>
      </c>
      <c r="B199" s="6">
        <f t="shared" si="10"/>
        <v>0.51211645624885294</v>
      </c>
      <c r="C199" s="6">
        <f t="shared" si="11"/>
        <v>0.51910120371357316</v>
      </c>
      <c r="D199" s="6">
        <f t="shared" si="12"/>
        <v>8.9687823400375741</v>
      </c>
    </row>
    <row r="200" spans="1:4" x14ac:dyDescent="0.3">
      <c r="A200" s="7">
        <f t="shared" si="14"/>
        <v>4.4347721633855655E-3</v>
      </c>
      <c r="B200" s="6">
        <f t="shared" si="10"/>
        <v>0.51695422701804183</v>
      </c>
      <c r="C200" s="6">
        <f t="shared" si="11"/>
        <v>0.25774091942940913</v>
      </c>
      <c r="D200" s="6">
        <f t="shared" si="12"/>
        <v>9.225304853552549</v>
      </c>
    </row>
    <row r="201" spans="1:4" x14ac:dyDescent="0.3">
      <c r="A201" s="7">
        <f t="shared" si="14"/>
        <v>4.4596866137416643E-3</v>
      </c>
      <c r="B201" s="6">
        <f t="shared" si="10"/>
        <v>0.51854477070112026</v>
      </c>
      <c r="C201" s="6">
        <f t="shared" si="11"/>
        <v>-1.9728650288666216E-3</v>
      </c>
      <c r="D201" s="6">
        <f t="shared" si="12"/>
        <v>9.4834280943277456</v>
      </c>
    </row>
    <row r="202" spans="1:4" x14ac:dyDescent="0.3">
      <c r="A202" s="7">
        <f t="shared" si="14"/>
        <v>4.4846010640977631E-3</v>
      </c>
      <c r="B202" s="6">
        <f t="shared" si="10"/>
        <v>0.51691848115924011</v>
      </c>
      <c r="C202" s="6">
        <f t="shared" si="11"/>
        <v>-0.25845924057981584</v>
      </c>
      <c r="D202" s="6">
        <f t="shared" si="12"/>
        <v>9.741540759420575</v>
      </c>
    </row>
    <row r="203" spans="1:4" x14ac:dyDescent="0.3">
      <c r="A203" s="7">
        <f t="shared" si="14"/>
        <v>4.5095155144538619E-3</v>
      </c>
      <c r="B203" s="6">
        <f t="shared" si="10"/>
        <v>0.51212520970276576</v>
      </c>
      <c r="C203" s="6">
        <f t="shared" si="11"/>
        <v>-0.51017676865484063</v>
      </c>
      <c r="D203" s="6">
        <f t="shared" si="12"/>
        <v>9.9980515589520742</v>
      </c>
    </row>
    <row r="204" spans="1:4" x14ac:dyDescent="0.3">
      <c r="A204" s="7">
        <f t="shared" si="14"/>
        <v>4.5344299648099606E-3</v>
      </c>
      <c r="B204" s="6">
        <f t="shared" si="10"/>
        <v>0.50423371684542495</v>
      </c>
      <c r="C204" s="6">
        <f t="shared" si="11"/>
        <v>-0.75563249645674624</v>
      </c>
      <c r="D204" s="6">
        <f t="shared" si="12"/>
        <v>10.251398779611321</v>
      </c>
    </row>
    <row r="205" spans="1:4" x14ac:dyDescent="0.3">
      <c r="A205" s="7">
        <f t="shared" si="14"/>
        <v>4.5593444151660594E-3</v>
      </c>
      <c r="B205" s="6">
        <f t="shared" si="10"/>
        <v>0.49333101425903492</v>
      </c>
      <c r="C205" s="6">
        <f t="shared" si="11"/>
        <v>-0.99339056166569151</v>
      </c>
      <c r="D205" s="6">
        <f t="shared" si="12"/>
        <v>10.500059547406657</v>
      </c>
    </row>
    <row r="206" spans="1:4" x14ac:dyDescent="0.3">
      <c r="A206" s="7">
        <f t="shared" si="14"/>
        <v>4.5842588655221582E-3</v>
      </c>
      <c r="B206" s="6">
        <f t="shared" si="10"/>
        <v>0.47952160234536156</v>
      </c>
      <c r="C206" s="6">
        <f t="shared" si="11"/>
        <v>-1.2220803386219039</v>
      </c>
      <c r="D206" s="6">
        <f t="shared" si="12"/>
        <v>10.742558736276543</v>
      </c>
    </row>
    <row r="207" spans="1:4" x14ac:dyDescent="0.3">
      <c r="A207" s="7">
        <f t="shared" si="14"/>
        <v>4.609173315878257E-3</v>
      </c>
      <c r="B207" s="6">
        <f t="shared" si="10"/>
        <v>0.46292660941820146</v>
      </c>
      <c r="C207" s="6">
        <f t="shared" si="11"/>
        <v>-1.4404040814355366</v>
      </c>
      <c r="D207" s="6">
        <f t="shared" si="12"/>
        <v>10.977477472017336</v>
      </c>
    </row>
    <row r="208" spans="1:4" x14ac:dyDescent="0.3">
      <c r="A208" s="7">
        <f t="shared" si="14"/>
        <v>4.6340877662343558E-3</v>
      </c>
      <c r="B208" s="6">
        <f t="shared" si="10"/>
        <v>0.44368283902120809</v>
      </c>
      <c r="C208" s="6">
        <f t="shared" si="11"/>
        <v>-1.6471440231272769</v>
      </c>
      <c r="D208" s="6">
        <f t="shared" si="12"/>
        <v>11.203461184106068</v>
      </c>
    </row>
    <row r="209" spans="1:4" x14ac:dyDescent="0.3">
      <c r="A209" s="7">
        <f t="shared" si="14"/>
        <v>4.6590022165904545E-3</v>
      </c>
      <c r="B209" s="6">
        <f t="shared" si="10"/>
        <v>0.42194173239260035</v>
      </c>
      <c r="C209" s="6">
        <f t="shared" si="11"/>
        <v>-1.8411688937634985</v>
      </c>
      <c r="D209" s="6">
        <f t="shared" si="12"/>
        <v>11.419227161370898</v>
      </c>
    </row>
    <row r="210" spans="1:4" x14ac:dyDescent="0.3">
      <c r="A210" s="7">
        <f t="shared" si="14"/>
        <v>4.6839166669465533E-3</v>
      </c>
      <c r="B210" s="6">
        <f t="shared" si="10"/>
        <v>0.39786825352426758</v>
      </c>
      <c r="C210" s="6">
        <f t="shared" si="11"/>
        <v>-2.0214398245905691</v>
      </c>
      <c r="D210" s="6">
        <f t="shared" si="12"/>
        <v>11.623571571066302</v>
      </c>
    </row>
    <row r="211" spans="1:4" x14ac:dyDescent="0.3">
      <c r="A211" s="7">
        <f t="shared" si="14"/>
        <v>4.7088311173026521E-3</v>
      </c>
      <c r="B211" s="6">
        <f t="shared" si="10"/>
        <v>0.3716397046478272</v>
      </c>
      <c r="C211" s="6">
        <f t="shared" si="11"/>
        <v>-2.1870156093670658</v>
      </c>
      <c r="D211" s="6">
        <f t="shared" si="12"/>
        <v>11.815375904719239</v>
      </c>
    </row>
    <row r="212" spans="1:4" x14ac:dyDescent="0.3">
      <c r="A212" s="7">
        <f t="shared" si="14"/>
        <v>4.7337455676587509E-3</v>
      </c>
      <c r="B212" s="6">
        <f t="shared" si="10"/>
        <v>0.34344448031220043</v>
      </c>
      <c r="C212" s="6">
        <f t="shared" si="11"/>
        <v>-2.3370572984123754</v>
      </c>
      <c r="D212" s="6">
        <f t="shared" si="12"/>
        <v>11.993612818100175</v>
      </c>
    </row>
    <row r="213" spans="1:4" x14ac:dyDescent="0.3">
      <c r="A213" s="7">
        <f t="shared" si="14"/>
        <v>4.7586600180148497E-3</v>
      </c>
      <c r="B213" s="6">
        <f t="shared" si="10"/>
        <v>0.3134807684947995</v>
      </c>
      <c r="C213" s="6">
        <f t="shared" si="11"/>
        <v>-2.4708321053076414</v>
      </c>
      <c r="D213" s="6">
        <f t="shared" si="12"/>
        <v>12.157351336812843</v>
      </c>
    </row>
    <row r="214" spans="1:4" x14ac:dyDescent="0.3">
      <c r="A214" s="7">
        <f t="shared" si="14"/>
        <v>4.7835744683709484E-3</v>
      </c>
      <c r="B214" s="6">
        <f t="shared" ref="B214:B222" si="15">(($B$8/($B$6*$B$13))*EXP(-$B$11*A214)*SIN($B$13*A214))*$B$5</f>
        <v>0.28195520741048619</v>
      </c>
      <c r="C214" s="6">
        <f t="shared" ref="C214:C222" si="16">$B$8-B214-D214</f>
        <v>-2.5877166106711353</v>
      </c>
      <c r="D214" s="6">
        <f t="shared" ref="D214:D222" si="17">$B$8*(1-EXP(-$B$11*A214)*(COS($B$13*A214)+($B$11/$B$13)*SIN($B$13*A214)))</f>
        <v>12.305761403260648</v>
      </c>
    </row>
    <row r="215" spans="1:4" x14ac:dyDescent="0.3">
      <c r="A215" s="7">
        <f t="shared" ref="A215:A222" si="18">A214+$B$17</f>
        <v>4.8084889187270472E-3</v>
      </c>
      <c r="B215" s="6">
        <f t="shared" si="15"/>
        <v>0.24908150684834707</v>
      </c>
      <c r="C215" s="6">
        <f t="shared" si="16"/>
        <v>-2.6871992519570664</v>
      </c>
      <c r="D215" s="6">
        <f t="shared" si="17"/>
        <v>12.43811774510872</v>
      </c>
    </row>
    <row r="216" spans="1:4" x14ac:dyDescent="0.3">
      <c r="A216" s="7">
        <f t="shared" si="18"/>
        <v>4.833403369083146E-3</v>
      </c>
      <c r="B216" s="6">
        <f t="shared" si="15"/>
        <v>0.2150790429757225</v>
      </c>
      <c r="C216" s="6">
        <f t="shared" si="16"/>
        <v>-2.7688820927656934</v>
      </c>
      <c r="D216" s="6">
        <f t="shared" si="17"/>
        <v>12.553803049789972</v>
      </c>
    </row>
    <row r="217" spans="1:4" x14ac:dyDescent="0.3">
      <c r="A217" s="7">
        <f t="shared" si="18"/>
        <v>4.8583178194392448E-3</v>
      </c>
      <c r="B217" s="6">
        <f t="shared" si="15"/>
        <v>0.1801714356018464</v>
      </c>
      <c r="C217" s="6">
        <f t="shared" si="16"/>
        <v>-2.8324818696754903</v>
      </c>
      <c r="D217" s="6">
        <f t="shared" si="17"/>
        <v>12.652310434073645</v>
      </c>
    </row>
    <row r="218" spans="1:4" x14ac:dyDescent="0.3">
      <c r="A218" s="7">
        <f t="shared" si="18"/>
        <v>4.8832322697953436E-3</v>
      </c>
      <c r="B218" s="6">
        <f t="shared" si="15"/>
        <v>0.1445851168902777</v>
      </c>
      <c r="C218" s="6">
        <f t="shared" si="16"/>
        <v>-2.8778303190872663</v>
      </c>
      <c r="D218" s="6">
        <f t="shared" si="17"/>
        <v>12.733245202196988</v>
      </c>
    </row>
    <row r="219" spans="1:4" x14ac:dyDescent="0.3">
      <c r="A219" s="7">
        <f t="shared" si="18"/>
        <v>4.9081467201514423E-3</v>
      </c>
      <c r="B219" s="6">
        <f t="shared" si="15"/>
        <v>0.10854790045074429</v>
      </c>
      <c r="C219" s="6">
        <f t="shared" si="16"/>
        <v>-2.9048737909784528</v>
      </c>
      <c r="D219" s="6">
        <f t="shared" si="17"/>
        <v>12.796325890527708</v>
      </c>
    </row>
    <row r="220" spans="1:4" x14ac:dyDescent="0.3">
      <c r="A220" s="7">
        <f t="shared" si="18"/>
        <v>4.9330611705075411E-3</v>
      </c>
      <c r="B220" s="6">
        <f t="shared" si="15"/>
        <v>7.2287559628106485E-2</v>
      </c>
      <c r="C220" s="6">
        <f t="shared" si="16"/>
        <v>-2.9136721607770308</v>
      </c>
      <c r="D220" s="6">
        <f t="shared" si="17"/>
        <v>12.841384601148924</v>
      </c>
    </row>
    <row r="221" spans="1:4" x14ac:dyDescent="0.3">
      <c r="A221" s="7">
        <f t="shared" si="18"/>
        <v>4.9579756208636399E-3</v>
      </c>
      <c r="B221" s="6">
        <f t="shared" si="15"/>
        <v>3.6030423640304413E-2</v>
      </c>
      <c r="C221" s="6">
        <f t="shared" si="16"/>
        <v>-2.9043970547532911</v>
      </c>
      <c r="D221" s="6">
        <f t="shared" si="17"/>
        <v>12.868366631112986</v>
      </c>
    </row>
    <row r="222" spans="1:4" x14ac:dyDescent="0.3">
      <c r="A222" s="7">
        <f t="shared" si="18"/>
        <v>4.9828900712197387E-3</v>
      </c>
      <c r="B222" s="6">
        <f t="shared" si="15"/>
        <v>-3.29584525622168E-14</v>
      </c>
      <c r="C222" s="6">
        <f t="shared" si="16"/>
        <v>-2.8773294083695848</v>
      </c>
      <c r="D222" s="6">
        <f t="shared" si="17"/>
        <v>12.877329408369619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RLC Transient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Niko Cornell</cp:lastModifiedBy>
  <cp:revision>1</cp:revision>
  <dcterms:created xsi:type="dcterms:W3CDTF">2026-09-17T00:04:25Z</dcterms:created>
  <dcterms:modified xsi:type="dcterms:W3CDTF">2026-09-21T00:04:17Z</dcterms:modified>
  <dc:language>en-US</dc:language>
</cp:coreProperties>
</file>