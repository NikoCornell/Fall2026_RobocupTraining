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robojackets\Fall2026_RobocupTraining\"/>
    </mc:Choice>
  </mc:AlternateContent>
  <bookViews>
    <workbookView windowWidth="21600" windowHeight="9555" tabRatio="500"/>
  </bookViews>
  <sheets>
    <sheet name="RLC Transi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<sst xmlns="http://schemas.openxmlformats.org/spreadsheetml/2006/main" count="20" uniqueCount="20">
  <si>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Series RLC Circuit — Step Response (Underdamped)</t>
  </si>
  <si>
    <t>Voltage across R, L, and C vs. time after a step input V0 is applied at t = 0</t>
  </si>
  <si>
    <t>Circuit Parameters (editable inputs)</t>
  </si>
  <si>
    <t>Resistance, R (ohm)</t>
  </si>
  <si>
    <t>Inductance, L (H)</t>
  </si>
  <si>
    <t>Capacitance, C (F)</t>
  </si>
  <si>
    <t>Step input voltage, V0 (V)</t>
  </si>
  <si>
    <t>Derived Quantities</t>
  </si>
  <si>
    <t>Damping factor, alpha = R/(2L)  (1/s)</t>
  </si>
  <si>
    <t>Natural (resonant) frequency, omega0 = 1/sqrt(LC)  (rad/s)</t>
  </si>
  <si>
    <t>Damped natural frequency, omega_d = sqrt(omega0^2 - alpha^2)  (rad/s)</t>
  </si>
  <si>
    <t>Damped period, T_d = 2*PI()/omega_d  (s)</t>
  </si>
  <si>
    <t>Simulation end time, t_end = 2.5 * T_d  (s)</t>
  </si>
  <si>
    <t>Number of time steps, N</t>
  </si>
  <si>
    <t>Time step, dt = t_end / N  (s)</t>
  </si>
  <si>
    <t>Model: series RLC circuit, capacitor initially uncharged, zero initial current, step voltage V0 applied at t=0. Underdamped case assumed (R &lt; 2*sqrt(L/C)); check alpha &lt; omega0 above. KVL: V0 = vR(t) + vL(t) + vC(t) at every instant.</t>
  </si>
  <si>
    <t>Time (s)</t>
  </si>
  <si>
    <t>V_R - Voltage across Resistor (V)</t>
  </si>
  <si>
    <t>V_L - Voltage across Inductor (V)</t>
  </si>
  <si>
    <t>V_C - Voltage across Capacitor (V)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</si>
</sst>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0"/>
    <numFmt numFmtId="179" formatCode="0.000000"/>
  </numFmts>
  <fonts count="27">
    <font>
      <sz val="11"/>
      <color theme="1"/>
      <name val="Calibri"/>
      <charset val="1"/>
    </font>
    <font>
      <b/>
      <sz val="14"/>
      <name val="Arial"/>
      <charset val="134"/>
    </font>
    <font>
      <i/>
      <sz val="10"/>
      <name val="Arial"/>
      <charset val="134"/>
    </font>
    <font>
      <b/>
      <sz val="11"/>
      <name val="Arial"/>
      <charset val="134"/>
    </font>
    <font>
      <sz val="11"/>
      <color rgb="FF000000"/>
      <name val="Arial"/>
      <charset val="134"/>
    </font>
    <font>
      <sz val="11"/>
      <color rgb="FF0000FF"/>
      <name val="Arial"/>
      <charset val="134"/>
    </font>
    <font>
      <i/>
      <sz val="9"/>
      <color rgb="FF666666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D9E1F2"/>
        <bgColor rgb="FFD9D9D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178" fontId="4" fillId="0" borderId="1" xfId="0" applyNumberFormat="1" applyFont="1" applyBorder="1"/>
    <xf numFmtId="179" fontId="4" fillId="0" borderId="1" xfId="0" applyNumberFormat="1" applyFont="1" applyBorder="1"/>
    <xf numFmtId="0" fontId="6" fillId="0" borderId="0" xfId="0" applyFont="1" applyAlignment="1">
      <alignment vertical="top" wrapText="1"/>
    </xf>
    <xf numFmtId="0" fontId="3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78787"/>
      <rgbColor rgb="009999FF"/>
      <rgbColor rgb="00BE4B48"/>
      <rgbColor rgb="00FFFFCC"/>
      <rgbColor rgb="00D9E1F2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A7EBB"/>
      <rgbColor rgb="0033CCCC"/>
      <rgbColor rgb="0098B855"/>
      <rgbColor rgb="00FFCC00"/>
      <rgbColor rgb="00FF9900"/>
      <rgbColor rgb="00FF6600"/>
      <rgbColor rgb="00666666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 panose="020F0502020204030204"/>
              </a:rPr>
              <a:t>Voltage Across R, L, and C vs. Time</a:t>
            </a:r>
            <a:endParaRPr lang="en-US"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'RLC Transient'!$B$21</c:f>
              <c:strCache>
                <c:ptCount val="1"/>
                <c:pt idx="0">
                  <c:v>V_R - Voltage across Resistor (V)</c:v>
                </c:pt>
              </c:strCache>
            </c:strRef>
          </c:tx>
          <c:spPr>
            <a:ln w="28440" cap="rnd" cmpd="sng" algn="ctr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zh-CN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'RLC Transient'!$A$22:$A$222</c:f>
              <c:numCache>
                <c:formatCode>0.000000</c:formatCode>
                <c:ptCount val="201"/>
                <c:pt idx="0" c:formatCode="0.000000">
                  <c:v>1111</c:v>
                </c:pt>
                <c:pt idx="1" c:formatCode="0.000000">
                  <c:v>1111.00040557787</c:v>
                </c:pt>
                <c:pt idx="2" c:formatCode="0.000000">
                  <c:v>1111.00081115574</c:v>
                </c:pt>
                <c:pt idx="3" c:formatCode="0.000000">
                  <c:v>1111.0012167336</c:v>
                </c:pt>
                <c:pt idx="4" c:formatCode="0.000000">
                  <c:v>1111.00162231147</c:v>
                </c:pt>
                <c:pt idx="5" c:formatCode="0.000000">
                  <c:v>1111.00202788934</c:v>
                </c:pt>
                <c:pt idx="6" c:formatCode="0.000000">
                  <c:v>1111.00243346721</c:v>
                </c:pt>
                <c:pt idx="7" c:formatCode="0.000000">
                  <c:v>1111.00283904507</c:v>
                </c:pt>
                <c:pt idx="8" c:formatCode="0.000000">
                  <c:v>1111.00324462294</c:v>
                </c:pt>
                <c:pt idx="9" c:formatCode="0.000000">
                  <c:v>1111.00365020081</c:v>
                </c:pt>
                <c:pt idx="10" c:formatCode="0.000000">
                  <c:v>1111.00405577868</c:v>
                </c:pt>
                <c:pt idx="11" c:formatCode="0.000000">
                  <c:v>1111.00446135654</c:v>
                </c:pt>
                <c:pt idx="12" c:formatCode="0.000000">
                  <c:v>1111.00486693441</c:v>
                </c:pt>
                <c:pt idx="13" c:formatCode="0.000000">
                  <c:v>1111.00527251228</c:v>
                </c:pt>
                <c:pt idx="14" c:formatCode="0.000000">
                  <c:v>1111.00567809015</c:v>
                </c:pt>
                <c:pt idx="15" c:formatCode="0.000000">
                  <c:v>1111.00608366802</c:v>
                </c:pt>
                <c:pt idx="16" c:formatCode="0.000000">
                  <c:v>1111.00648924588</c:v>
                </c:pt>
                <c:pt idx="17" c:formatCode="0.000000">
                  <c:v>1111.00689482375</c:v>
                </c:pt>
                <c:pt idx="18" c:formatCode="0.000000">
                  <c:v>1111.00730040162</c:v>
                </c:pt>
                <c:pt idx="19" c:formatCode="0.000000">
                  <c:v>1111.00770597949</c:v>
                </c:pt>
                <c:pt idx="20" c:formatCode="0.000000">
                  <c:v>1111.00811155735</c:v>
                </c:pt>
                <c:pt idx="21" c:formatCode="0.000000">
                  <c:v>1111.00851713522</c:v>
                </c:pt>
                <c:pt idx="22" c:formatCode="0.000000">
                  <c:v>1111.00892271309</c:v>
                </c:pt>
                <c:pt idx="23" c:formatCode="0.000000">
                  <c:v>1111.00932829096</c:v>
                </c:pt>
                <c:pt idx="24" c:formatCode="0.000000">
                  <c:v>1111.00973386882</c:v>
                </c:pt>
                <c:pt idx="25" c:formatCode="0.000000">
                  <c:v>1111.01013944669</c:v>
                </c:pt>
                <c:pt idx="26" c:formatCode="0.000000">
                  <c:v>1111.01054502456</c:v>
                </c:pt>
                <c:pt idx="27" c:formatCode="0.000000">
                  <c:v>1111.01095060243</c:v>
                </c:pt>
                <c:pt idx="28" c:formatCode="0.000000">
                  <c:v>1111.0113561803</c:v>
                </c:pt>
                <c:pt idx="29" c:formatCode="0.000000">
                  <c:v>1111.01176175816</c:v>
                </c:pt>
                <c:pt idx="30" c:formatCode="0.000000">
                  <c:v>1111.01216733603</c:v>
                </c:pt>
                <c:pt idx="31" c:formatCode="0.000000">
                  <c:v>1111.0125729139</c:v>
                </c:pt>
                <c:pt idx="32" c:formatCode="0.000000">
                  <c:v>1111.01297849177</c:v>
                </c:pt>
                <c:pt idx="33" c:formatCode="0.000000">
                  <c:v>1111.01338406963</c:v>
                </c:pt>
                <c:pt idx="34" c:formatCode="0.000000">
                  <c:v>1111.0137896475</c:v>
                </c:pt>
                <c:pt idx="35" c:formatCode="0.000000">
                  <c:v>1111.01419522537</c:v>
                </c:pt>
                <c:pt idx="36" c:formatCode="0.000000">
                  <c:v>1111.01460080324</c:v>
                </c:pt>
                <c:pt idx="37" c:formatCode="0.000000">
                  <c:v>1111.0150063811</c:v>
                </c:pt>
                <c:pt idx="38" c:formatCode="0.000000">
                  <c:v>1111.01541195897</c:v>
                </c:pt>
                <c:pt idx="39" c:formatCode="0.000000">
                  <c:v>1111.01581753684</c:v>
                </c:pt>
                <c:pt idx="40" c:formatCode="0.000000">
                  <c:v>1111.01622311471</c:v>
                </c:pt>
                <c:pt idx="41" c:formatCode="0.000000">
                  <c:v>1111.01662869258</c:v>
                </c:pt>
                <c:pt idx="42" c:formatCode="0.000000">
                  <c:v>1111.01703427044</c:v>
                </c:pt>
                <c:pt idx="43" c:formatCode="0.000000">
                  <c:v>1111.01743984831</c:v>
                </c:pt>
                <c:pt idx="44" c:formatCode="0.000000">
                  <c:v>1111.01784542618</c:v>
                </c:pt>
                <c:pt idx="45" c:formatCode="0.000000">
                  <c:v>1111.01825100405</c:v>
                </c:pt>
                <c:pt idx="46" c:formatCode="0.000000">
                  <c:v>1111.01865658191</c:v>
                </c:pt>
                <c:pt idx="47" c:formatCode="0.000000">
                  <c:v>1111.01906215978</c:v>
                </c:pt>
                <c:pt idx="48" c:formatCode="0.000000">
                  <c:v>1111.01946773765</c:v>
                </c:pt>
                <c:pt idx="49" c:formatCode="0.000000">
                  <c:v>1111.01987331552</c:v>
                </c:pt>
                <c:pt idx="50" c:formatCode="0.000000">
                  <c:v>1111.02027889338</c:v>
                </c:pt>
                <c:pt idx="51" c:formatCode="0.000000">
                  <c:v>1111.02068447125</c:v>
                </c:pt>
                <c:pt idx="52" c:formatCode="0.000000">
                  <c:v>1111.02109004912</c:v>
                </c:pt>
                <c:pt idx="53" c:formatCode="0.000000">
                  <c:v>1111.02149562699</c:v>
                </c:pt>
                <c:pt idx="54" c:formatCode="0.000000">
                  <c:v>1111.02190120486</c:v>
                </c:pt>
                <c:pt idx="55" c:formatCode="0.000000">
                  <c:v>1111.02230678272</c:v>
                </c:pt>
                <c:pt idx="56" c:formatCode="0.000000">
                  <c:v>1111.02271236059</c:v>
                </c:pt>
                <c:pt idx="57" c:formatCode="0.000000">
                  <c:v>1111.02311793846</c:v>
                </c:pt>
                <c:pt idx="58" c:formatCode="0.000000">
                  <c:v>1111.02352351633</c:v>
                </c:pt>
                <c:pt idx="59" c:formatCode="0.000000">
                  <c:v>1111.02392909419</c:v>
                </c:pt>
                <c:pt idx="60" c:formatCode="0.000000">
                  <c:v>1111.02433467206</c:v>
                </c:pt>
                <c:pt idx="61" c:formatCode="0.000000">
                  <c:v>1111.02474024993</c:v>
                </c:pt>
                <c:pt idx="62" c:formatCode="0.000000">
                  <c:v>1111.0251458278</c:v>
                </c:pt>
                <c:pt idx="63" c:formatCode="0.000000">
                  <c:v>1111.02555140566</c:v>
                </c:pt>
                <c:pt idx="64" c:formatCode="0.000000">
                  <c:v>1111.02595698353</c:v>
                </c:pt>
                <c:pt idx="65" c:formatCode="0.000000">
                  <c:v>1111.0263625614</c:v>
                </c:pt>
                <c:pt idx="66" c:formatCode="0.000000">
                  <c:v>1111.02676813927</c:v>
                </c:pt>
                <c:pt idx="67" c:formatCode="0.000000">
                  <c:v>1111.02717371714</c:v>
                </c:pt>
                <c:pt idx="68" c:formatCode="0.000000">
                  <c:v>1111.027579295</c:v>
                </c:pt>
                <c:pt idx="69" c:formatCode="0.000000">
                  <c:v>1111.02798487287</c:v>
                </c:pt>
                <c:pt idx="70" c:formatCode="0.000000">
                  <c:v>1111.02839045074</c:v>
                </c:pt>
                <c:pt idx="71" c:formatCode="0.000000">
                  <c:v>1111.02879602861</c:v>
                </c:pt>
                <c:pt idx="72" c:formatCode="0.000000">
                  <c:v>1111.02920160647</c:v>
                </c:pt>
                <c:pt idx="73" c:formatCode="0.000000">
                  <c:v>1111.02960718434</c:v>
                </c:pt>
                <c:pt idx="74" c:formatCode="0.000000">
                  <c:v>1111.03001276221</c:v>
                </c:pt>
                <c:pt idx="75" c:formatCode="0.000000">
                  <c:v>1111.03041834008</c:v>
                </c:pt>
                <c:pt idx="76" c:formatCode="0.000000">
                  <c:v>1111.03082391794</c:v>
                </c:pt>
                <c:pt idx="77" c:formatCode="0.000000">
                  <c:v>1111.03122949581</c:v>
                </c:pt>
                <c:pt idx="78" c:formatCode="0.000000">
                  <c:v>1111.03163507368</c:v>
                </c:pt>
                <c:pt idx="79" c:formatCode="0.000000">
                  <c:v>1111.03204065155</c:v>
                </c:pt>
                <c:pt idx="80" c:formatCode="0.000000">
                  <c:v>1111.03244622942</c:v>
                </c:pt>
                <c:pt idx="81" c:formatCode="0.000000">
                  <c:v>1111.03285180728</c:v>
                </c:pt>
                <c:pt idx="82" c:formatCode="0.000000">
                  <c:v>1111.03325738515</c:v>
                </c:pt>
                <c:pt idx="83" c:formatCode="0.000000">
                  <c:v>1111.03366296302</c:v>
                </c:pt>
                <c:pt idx="84" c:formatCode="0.000000">
                  <c:v>1111.03406854089</c:v>
                </c:pt>
                <c:pt idx="85" c:formatCode="0.000000">
                  <c:v>1111.03447411875</c:v>
                </c:pt>
                <c:pt idx="86" c:formatCode="0.000000">
                  <c:v>1111.03487969662</c:v>
                </c:pt>
                <c:pt idx="87" c:formatCode="0.000000">
                  <c:v>1111.03528527449</c:v>
                </c:pt>
                <c:pt idx="88" c:formatCode="0.000000">
                  <c:v>1111.03569085236</c:v>
                </c:pt>
                <c:pt idx="89" c:formatCode="0.000000">
                  <c:v>1111.03609643022</c:v>
                </c:pt>
                <c:pt idx="90" c:formatCode="0.000000">
                  <c:v>1111.03650200809</c:v>
                </c:pt>
                <c:pt idx="91" c:formatCode="0.000000">
                  <c:v>1111.03690758596</c:v>
                </c:pt>
                <c:pt idx="92" c:formatCode="0.000000">
                  <c:v>1111.03731316383</c:v>
                </c:pt>
                <c:pt idx="93" c:formatCode="0.000000">
                  <c:v>1111.0377187417</c:v>
                </c:pt>
                <c:pt idx="94" c:formatCode="0.000000">
                  <c:v>1111.03812431956</c:v>
                </c:pt>
                <c:pt idx="95" c:formatCode="0.000000">
                  <c:v>1111.03852989743</c:v>
                </c:pt>
                <c:pt idx="96" c:formatCode="0.000000">
                  <c:v>1111.0389354753</c:v>
                </c:pt>
                <c:pt idx="97" c:formatCode="0.000000">
                  <c:v>1111.03934105317</c:v>
                </c:pt>
                <c:pt idx="98" c:formatCode="0.000000">
                  <c:v>1111.03974663103</c:v>
                </c:pt>
                <c:pt idx="99" c:formatCode="0.000000">
                  <c:v>1111.0401522089</c:v>
                </c:pt>
                <c:pt idx="100" c:formatCode="0.000000">
                  <c:v>1111.04055778677</c:v>
                </c:pt>
                <c:pt idx="101" c:formatCode="0.000000">
                  <c:v>1111.04096336464</c:v>
                </c:pt>
                <c:pt idx="102" c:formatCode="0.000000">
                  <c:v>1111.0413689425</c:v>
                </c:pt>
                <c:pt idx="103" c:formatCode="0.000000">
                  <c:v>1111.04177452037</c:v>
                </c:pt>
                <c:pt idx="104" c:formatCode="0.000000">
                  <c:v>1111.04218009824</c:v>
                </c:pt>
                <c:pt idx="105" c:formatCode="0.000000">
                  <c:v>1111.04258567611</c:v>
                </c:pt>
                <c:pt idx="106" c:formatCode="0.000000">
                  <c:v>1111.04299125398</c:v>
                </c:pt>
                <c:pt idx="107" c:formatCode="0.000000">
                  <c:v>1111.04339683184</c:v>
                </c:pt>
                <c:pt idx="108" c:formatCode="0.000000">
                  <c:v>1111.04380240971</c:v>
                </c:pt>
                <c:pt idx="109" c:formatCode="0.000000">
                  <c:v>1111.04420798758</c:v>
                </c:pt>
                <c:pt idx="110" c:formatCode="0.000000">
                  <c:v>1111.04461356545</c:v>
                </c:pt>
                <c:pt idx="111" c:formatCode="0.000000">
                  <c:v>1111.04501914331</c:v>
                </c:pt>
                <c:pt idx="112" c:formatCode="0.000000">
                  <c:v>1111.04542472118</c:v>
                </c:pt>
                <c:pt idx="113" c:formatCode="0.000000">
                  <c:v>1111.04583029905</c:v>
                </c:pt>
                <c:pt idx="114" c:formatCode="0.000000">
                  <c:v>1111.04623587692</c:v>
                </c:pt>
                <c:pt idx="115" c:formatCode="0.000000">
                  <c:v>1111.04664145479</c:v>
                </c:pt>
                <c:pt idx="116" c:formatCode="0.000000">
                  <c:v>1111.04704703265</c:v>
                </c:pt>
                <c:pt idx="117" c:formatCode="0.000000">
                  <c:v>1111.04745261052</c:v>
                </c:pt>
                <c:pt idx="118" c:formatCode="0.000000">
                  <c:v>1111.04785818839</c:v>
                </c:pt>
                <c:pt idx="119" c:formatCode="0.000000">
                  <c:v>1111.04826376626</c:v>
                </c:pt>
                <c:pt idx="120" c:formatCode="0.000000">
                  <c:v>1111.04866934412</c:v>
                </c:pt>
                <c:pt idx="121" c:formatCode="0.000000">
                  <c:v>1111.04907492199</c:v>
                </c:pt>
                <c:pt idx="122" c:formatCode="0.000000">
                  <c:v>1111.04948049986</c:v>
                </c:pt>
                <c:pt idx="123" c:formatCode="0.000000">
                  <c:v>1111.04988607773</c:v>
                </c:pt>
                <c:pt idx="124" c:formatCode="0.000000">
                  <c:v>1111.05029165559</c:v>
                </c:pt>
                <c:pt idx="125" c:formatCode="0.000000">
                  <c:v>1111.05069723346</c:v>
                </c:pt>
                <c:pt idx="126" c:formatCode="0.000000">
                  <c:v>1111.05110281133</c:v>
                </c:pt>
                <c:pt idx="127" c:formatCode="0.000000">
                  <c:v>1111.0515083892</c:v>
                </c:pt>
                <c:pt idx="128" c:formatCode="0.000000">
                  <c:v>1111.05191396707</c:v>
                </c:pt>
                <c:pt idx="129" c:formatCode="0.000000">
                  <c:v>1111.05231954493</c:v>
                </c:pt>
                <c:pt idx="130" c:formatCode="0.000000">
                  <c:v>1111.0527251228</c:v>
                </c:pt>
                <c:pt idx="131" c:formatCode="0.000000">
                  <c:v>1111.05313070067</c:v>
                </c:pt>
                <c:pt idx="132" c:formatCode="0.000000">
                  <c:v>1111.05353627854</c:v>
                </c:pt>
                <c:pt idx="133" c:formatCode="0.000000">
                  <c:v>1111.0539418564</c:v>
                </c:pt>
                <c:pt idx="134" c:formatCode="0.000000">
                  <c:v>1111.05434743427</c:v>
                </c:pt>
                <c:pt idx="135" c:formatCode="0.000000">
                  <c:v>1111.05475301214</c:v>
                </c:pt>
                <c:pt idx="136" c:formatCode="0.000000">
                  <c:v>1111.05515859001</c:v>
                </c:pt>
                <c:pt idx="137" c:formatCode="0.000000">
                  <c:v>1111.05556416787</c:v>
                </c:pt>
                <c:pt idx="138" c:formatCode="0.000000">
                  <c:v>1111.05596974574</c:v>
                </c:pt>
                <c:pt idx="139" c:formatCode="0.000000">
                  <c:v>1111.05637532361</c:v>
                </c:pt>
                <c:pt idx="140" c:formatCode="0.000000">
                  <c:v>1111.05678090148</c:v>
                </c:pt>
                <c:pt idx="141" c:formatCode="0.000000">
                  <c:v>1111.05718647935</c:v>
                </c:pt>
                <c:pt idx="142" c:formatCode="0.000000">
                  <c:v>1111.05759205721</c:v>
                </c:pt>
                <c:pt idx="143" c:formatCode="0.000000">
                  <c:v>1111.05799763508</c:v>
                </c:pt>
                <c:pt idx="144" c:formatCode="0.000000">
                  <c:v>1111.05840321295</c:v>
                </c:pt>
                <c:pt idx="145" c:formatCode="0.000000">
                  <c:v>1111.05880879082</c:v>
                </c:pt>
                <c:pt idx="146" c:formatCode="0.000000">
                  <c:v>1111.05921436868</c:v>
                </c:pt>
                <c:pt idx="147" c:formatCode="0.000000">
                  <c:v>1111.05961994655</c:v>
                </c:pt>
                <c:pt idx="148" c:formatCode="0.000000">
                  <c:v>1111.06002552442</c:v>
                </c:pt>
                <c:pt idx="149" c:formatCode="0.000000">
                  <c:v>1111.06043110229</c:v>
                </c:pt>
                <c:pt idx="150" c:formatCode="0.000000">
                  <c:v>1111.06083668015</c:v>
                </c:pt>
                <c:pt idx="151" c:formatCode="0.000000">
                  <c:v>1111.06124225802</c:v>
                </c:pt>
                <c:pt idx="152" c:formatCode="0.000000">
                  <c:v>1111.06164783589</c:v>
                </c:pt>
                <c:pt idx="153" c:formatCode="0.000000">
                  <c:v>1111.06205341376</c:v>
                </c:pt>
                <c:pt idx="154" c:formatCode="0.000000">
                  <c:v>1111.06245899163</c:v>
                </c:pt>
                <c:pt idx="155" c:formatCode="0.000000">
                  <c:v>1111.06286456949</c:v>
                </c:pt>
                <c:pt idx="156" c:formatCode="0.000000">
                  <c:v>1111.06327014736</c:v>
                </c:pt>
                <c:pt idx="157" c:formatCode="0.000000">
                  <c:v>1111.06367572523</c:v>
                </c:pt>
                <c:pt idx="158" c:formatCode="0.000000">
                  <c:v>1111.0640813031</c:v>
                </c:pt>
                <c:pt idx="159" c:formatCode="0.000000">
                  <c:v>1111.06448688096</c:v>
                </c:pt>
                <c:pt idx="160" c:formatCode="0.000000">
                  <c:v>1111.06489245883</c:v>
                </c:pt>
                <c:pt idx="161" c:formatCode="0.000000">
                  <c:v>1111.0652980367</c:v>
                </c:pt>
                <c:pt idx="162" c:formatCode="0.000000">
                  <c:v>1111.06570361457</c:v>
                </c:pt>
                <c:pt idx="163" c:formatCode="0.000000">
                  <c:v>1111.06610919243</c:v>
                </c:pt>
                <c:pt idx="164" c:formatCode="0.000000">
                  <c:v>1111.0665147703</c:v>
                </c:pt>
                <c:pt idx="165" c:formatCode="0.000000">
                  <c:v>1111.06692034817</c:v>
                </c:pt>
                <c:pt idx="166" c:formatCode="0.000000">
                  <c:v>1111.06732592604</c:v>
                </c:pt>
                <c:pt idx="167" c:formatCode="0.000000">
                  <c:v>1111.06773150391</c:v>
                </c:pt>
                <c:pt idx="168" c:formatCode="0.000000">
                  <c:v>1111.06813708177</c:v>
                </c:pt>
                <c:pt idx="169" c:formatCode="0.000000">
                  <c:v>1111.06854265964</c:v>
                </c:pt>
                <c:pt idx="170" c:formatCode="0.000000">
                  <c:v>1111.06894823751</c:v>
                </c:pt>
                <c:pt idx="171" c:formatCode="0.000000">
                  <c:v>1111.06935381538</c:v>
                </c:pt>
                <c:pt idx="172" c:formatCode="0.000000">
                  <c:v>1111.06975939324</c:v>
                </c:pt>
                <c:pt idx="173" c:formatCode="0.000000">
                  <c:v>1111.07016497111</c:v>
                </c:pt>
                <c:pt idx="174" c:formatCode="0.000000">
                  <c:v>1111.07057054898</c:v>
                </c:pt>
                <c:pt idx="175" c:formatCode="0.000000">
                  <c:v>1111.07097612685</c:v>
                </c:pt>
                <c:pt idx="176" c:formatCode="0.000000">
                  <c:v>1111.07138170471</c:v>
                </c:pt>
                <c:pt idx="177" c:formatCode="0.000000">
                  <c:v>1111.07178728258</c:v>
                </c:pt>
                <c:pt idx="178" c:formatCode="0.000000">
                  <c:v>1111.07219286045</c:v>
                </c:pt>
                <c:pt idx="179" c:formatCode="0.000000">
                  <c:v>1111.07259843832</c:v>
                </c:pt>
                <c:pt idx="180" c:formatCode="0.000000">
                  <c:v>1111.07300401619</c:v>
                </c:pt>
                <c:pt idx="181" c:formatCode="0.000000">
                  <c:v>1111.07340959405</c:v>
                </c:pt>
                <c:pt idx="182" c:formatCode="0.000000">
                  <c:v>1111.07381517192</c:v>
                </c:pt>
                <c:pt idx="183" c:formatCode="0.000000">
                  <c:v>1111.07422074979</c:v>
                </c:pt>
                <c:pt idx="184" c:formatCode="0.000000">
                  <c:v>1111.07462632766</c:v>
                </c:pt>
                <c:pt idx="185" c:formatCode="0.000000">
                  <c:v>1111.07503190552</c:v>
                </c:pt>
                <c:pt idx="186" c:formatCode="0.000000">
                  <c:v>1111.07543748339</c:v>
                </c:pt>
                <c:pt idx="187" c:formatCode="0.000000">
                  <c:v>1111.07584306126</c:v>
                </c:pt>
                <c:pt idx="188" c:formatCode="0.000000">
                  <c:v>1111.07624863913</c:v>
                </c:pt>
                <c:pt idx="189" c:formatCode="0.000000">
                  <c:v>1111.07665421699</c:v>
                </c:pt>
                <c:pt idx="190" c:formatCode="0.000000">
                  <c:v>1111.07705979486</c:v>
                </c:pt>
                <c:pt idx="191" c:formatCode="0.000000">
                  <c:v>1111.07746537273</c:v>
                </c:pt>
                <c:pt idx="192" c:formatCode="0.000000">
                  <c:v>1111.0778709506</c:v>
                </c:pt>
                <c:pt idx="193" c:formatCode="0.000000">
                  <c:v>1111.07827652847</c:v>
                </c:pt>
                <c:pt idx="194" c:formatCode="0.000000">
                  <c:v>1111.07868210633</c:v>
                </c:pt>
                <c:pt idx="195" c:formatCode="0.000000">
                  <c:v>1111.0790876842</c:v>
                </c:pt>
                <c:pt idx="196" c:formatCode="0.000000">
                  <c:v>1111.07949326207</c:v>
                </c:pt>
                <c:pt idx="197" c:formatCode="0.000000">
                  <c:v>1111.07989883994</c:v>
                </c:pt>
                <c:pt idx="198" c:formatCode="0.000000">
                  <c:v>1111.0803044178</c:v>
                </c:pt>
                <c:pt idx="199" c:formatCode="0.000000">
                  <c:v>1111.08070999567</c:v>
                </c:pt>
                <c:pt idx="200" c:formatCode="0.000000">
                  <c:v>1111.08111557354</c:v>
                </c:pt>
              </c:numCache>
            </c:numRef>
          </c:cat>
          <c:val>
            <c:numRef>
              <c:f>'RLC Transient'!$B$22:$B$222</c:f>
              <c:numCache>
                <c:formatCode>0.0000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'RLC Transient'!$C$21</c:f>
              <c:strCache>
                <c:ptCount val="1"/>
                <c:pt idx="0">
                  <c:v>V_L - Voltage across Inductor (V)</c:v>
                </c:pt>
              </c:strCache>
            </c:strRef>
          </c:tx>
          <c:spPr>
            <a:ln w="28440" cap="rnd" cmpd="sng" algn="ctr">
              <a:solidFill>
                <a:srgbClr val="BE4B4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zh-CN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'RLC Transient'!$A$22:$A$222</c:f>
              <c:numCache>
                <c:formatCode>0.000000</c:formatCode>
                <c:ptCount val="201"/>
                <c:pt idx="0" c:formatCode="0.000000">
                  <c:v>1111</c:v>
                </c:pt>
                <c:pt idx="1" c:formatCode="0.000000">
                  <c:v>1111.00040557787</c:v>
                </c:pt>
                <c:pt idx="2" c:formatCode="0.000000">
                  <c:v>1111.00081115574</c:v>
                </c:pt>
                <c:pt idx="3" c:formatCode="0.000000">
                  <c:v>1111.0012167336</c:v>
                </c:pt>
                <c:pt idx="4" c:formatCode="0.000000">
                  <c:v>1111.00162231147</c:v>
                </c:pt>
                <c:pt idx="5" c:formatCode="0.000000">
                  <c:v>1111.00202788934</c:v>
                </c:pt>
                <c:pt idx="6" c:formatCode="0.000000">
                  <c:v>1111.00243346721</c:v>
                </c:pt>
                <c:pt idx="7" c:formatCode="0.000000">
                  <c:v>1111.00283904507</c:v>
                </c:pt>
                <c:pt idx="8" c:formatCode="0.000000">
                  <c:v>1111.00324462294</c:v>
                </c:pt>
                <c:pt idx="9" c:formatCode="0.000000">
                  <c:v>1111.00365020081</c:v>
                </c:pt>
                <c:pt idx="10" c:formatCode="0.000000">
                  <c:v>1111.00405577868</c:v>
                </c:pt>
                <c:pt idx="11" c:formatCode="0.000000">
                  <c:v>1111.00446135654</c:v>
                </c:pt>
                <c:pt idx="12" c:formatCode="0.000000">
                  <c:v>1111.00486693441</c:v>
                </c:pt>
                <c:pt idx="13" c:formatCode="0.000000">
                  <c:v>1111.00527251228</c:v>
                </c:pt>
                <c:pt idx="14" c:formatCode="0.000000">
                  <c:v>1111.00567809015</c:v>
                </c:pt>
                <c:pt idx="15" c:formatCode="0.000000">
                  <c:v>1111.00608366802</c:v>
                </c:pt>
                <c:pt idx="16" c:formatCode="0.000000">
                  <c:v>1111.00648924588</c:v>
                </c:pt>
                <c:pt idx="17" c:formatCode="0.000000">
                  <c:v>1111.00689482375</c:v>
                </c:pt>
                <c:pt idx="18" c:formatCode="0.000000">
                  <c:v>1111.00730040162</c:v>
                </c:pt>
                <c:pt idx="19" c:formatCode="0.000000">
                  <c:v>1111.00770597949</c:v>
                </c:pt>
                <c:pt idx="20" c:formatCode="0.000000">
                  <c:v>1111.00811155735</c:v>
                </c:pt>
                <c:pt idx="21" c:formatCode="0.000000">
                  <c:v>1111.00851713522</c:v>
                </c:pt>
                <c:pt idx="22" c:formatCode="0.000000">
                  <c:v>1111.00892271309</c:v>
                </c:pt>
                <c:pt idx="23" c:formatCode="0.000000">
                  <c:v>1111.00932829096</c:v>
                </c:pt>
                <c:pt idx="24" c:formatCode="0.000000">
                  <c:v>1111.00973386882</c:v>
                </c:pt>
                <c:pt idx="25" c:formatCode="0.000000">
                  <c:v>1111.01013944669</c:v>
                </c:pt>
                <c:pt idx="26" c:formatCode="0.000000">
                  <c:v>1111.01054502456</c:v>
                </c:pt>
                <c:pt idx="27" c:formatCode="0.000000">
                  <c:v>1111.01095060243</c:v>
                </c:pt>
                <c:pt idx="28" c:formatCode="0.000000">
                  <c:v>1111.0113561803</c:v>
                </c:pt>
                <c:pt idx="29" c:formatCode="0.000000">
                  <c:v>1111.01176175816</c:v>
                </c:pt>
                <c:pt idx="30" c:formatCode="0.000000">
                  <c:v>1111.01216733603</c:v>
                </c:pt>
                <c:pt idx="31" c:formatCode="0.000000">
                  <c:v>1111.0125729139</c:v>
                </c:pt>
                <c:pt idx="32" c:formatCode="0.000000">
                  <c:v>1111.01297849177</c:v>
                </c:pt>
                <c:pt idx="33" c:formatCode="0.000000">
                  <c:v>1111.01338406963</c:v>
                </c:pt>
                <c:pt idx="34" c:formatCode="0.000000">
                  <c:v>1111.0137896475</c:v>
                </c:pt>
                <c:pt idx="35" c:formatCode="0.000000">
                  <c:v>1111.01419522537</c:v>
                </c:pt>
                <c:pt idx="36" c:formatCode="0.000000">
                  <c:v>1111.01460080324</c:v>
                </c:pt>
                <c:pt idx="37" c:formatCode="0.000000">
                  <c:v>1111.0150063811</c:v>
                </c:pt>
                <c:pt idx="38" c:formatCode="0.000000">
                  <c:v>1111.01541195897</c:v>
                </c:pt>
                <c:pt idx="39" c:formatCode="0.000000">
                  <c:v>1111.01581753684</c:v>
                </c:pt>
                <c:pt idx="40" c:formatCode="0.000000">
                  <c:v>1111.01622311471</c:v>
                </c:pt>
                <c:pt idx="41" c:formatCode="0.000000">
                  <c:v>1111.01662869258</c:v>
                </c:pt>
                <c:pt idx="42" c:formatCode="0.000000">
                  <c:v>1111.01703427044</c:v>
                </c:pt>
                <c:pt idx="43" c:formatCode="0.000000">
                  <c:v>1111.01743984831</c:v>
                </c:pt>
                <c:pt idx="44" c:formatCode="0.000000">
                  <c:v>1111.01784542618</c:v>
                </c:pt>
                <c:pt idx="45" c:formatCode="0.000000">
                  <c:v>1111.01825100405</c:v>
                </c:pt>
                <c:pt idx="46" c:formatCode="0.000000">
                  <c:v>1111.01865658191</c:v>
                </c:pt>
                <c:pt idx="47" c:formatCode="0.000000">
                  <c:v>1111.01906215978</c:v>
                </c:pt>
                <c:pt idx="48" c:formatCode="0.000000">
                  <c:v>1111.01946773765</c:v>
                </c:pt>
                <c:pt idx="49" c:formatCode="0.000000">
                  <c:v>1111.01987331552</c:v>
                </c:pt>
                <c:pt idx="50" c:formatCode="0.000000">
                  <c:v>1111.02027889338</c:v>
                </c:pt>
                <c:pt idx="51" c:formatCode="0.000000">
                  <c:v>1111.02068447125</c:v>
                </c:pt>
                <c:pt idx="52" c:formatCode="0.000000">
                  <c:v>1111.02109004912</c:v>
                </c:pt>
                <c:pt idx="53" c:formatCode="0.000000">
                  <c:v>1111.02149562699</c:v>
                </c:pt>
                <c:pt idx="54" c:formatCode="0.000000">
                  <c:v>1111.02190120486</c:v>
                </c:pt>
                <c:pt idx="55" c:formatCode="0.000000">
                  <c:v>1111.02230678272</c:v>
                </c:pt>
                <c:pt idx="56" c:formatCode="0.000000">
                  <c:v>1111.02271236059</c:v>
                </c:pt>
                <c:pt idx="57" c:formatCode="0.000000">
                  <c:v>1111.02311793846</c:v>
                </c:pt>
                <c:pt idx="58" c:formatCode="0.000000">
                  <c:v>1111.02352351633</c:v>
                </c:pt>
                <c:pt idx="59" c:formatCode="0.000000">
                  <c:v>1111.02392909419</c:v>
                </c:pt>
                <c:pt idx="60" c:formatCode="0.000000">
                  <c:v>1111.02433467206</c:v>
                </c:pt>
                <c:pt idx="61" c:formatCode="0.000000">
                  <c:v>1111.02474024993</c:v>
                </c:pt>
                <c:pt idx="62" c:formatCode="0.000000">
                  <c:v>1111.0251458278</c:v>
                </c:pt>
                <c:pt idx="63" c:formatCode="0.000000">
                  <c:v>1111.02555140566</c:v>
                </c:pt>
                <c:pt idx="64" c:formatCode="0.000000">
                  <c:v>1111.02595698353</c:v>
                </c:pt>
                <c:pt idx="65" c:formatCode="0.000000">
                  <c:v>1111.0263625614</c:v>
                </c:pt>
                <c:pt idx="66" c:formatCode="0.000000">
                  <c:v>1111.02676813927</c:v>
                </c:pt>
                <c:pt idx="67" c:formatCode="0.000000">
                  <c:v>1111.02717371714</c:v>
                </c:pt>
                <c:pt idx="68" c:formatCode="0.000000">
                  <c:v>1111.027579295</c:v>
                </c:pt>
                <c:pt idx="69" c:formatCode="0.000000">
                  <c:v>1111.02798487287</c:v>
                </c:pt>
                <c:pt idx="70" c:formatCode="0.000000">
                  <c:v>1111.02839045074</c:v>
                </c:pt>
                <c:pt idx="71" c:formatCode="0.000000">
                  <c:v>1111.02879602861</c:v>
                </c:pt>
                <c:pt idx="72" c:formatCode="0.000000">
                  <c:v>1111.02920160647</c:v>
                </c:pt>
                <c:pt idx="73" c:formatCode="0.000000">
                  <c:v>1111.02960718434</c:v>
                </c:pt>
                <c:pt idx="74" c:formatCode="0.000000">
                  <c:v>1111.03001276221</c:v>
                </c:pt>
                <c:pt idx="75" c:formatCode="0.000000">
                  <c:v>1111.03041834008</c:v>
                </c:pt>
                <c:pt idx="76" c:formatCode="0.000000">
                  <c:v>1111.03082391794</c:v>
                </c:pt>
                <c:pt idx="77" c:formatCode="0.000000">
                  <c:v>1111.03122949581</c:v>
                </c:pt>
                <c:pt idx="78" c:formatCode="0.000000">
                  <c:v>1111.03163507368</c:v>
                </c:pt>
                <c:pt idx="79" c:formatCode="0.000000">
                  <c:v>1111.03204065155</c:v>
                </c:pt>
                <c:pt idx="80" c:formatCode="0.000000">
                  <c:v>1111.03244622942</c:v>
                </c:pt>
                <c:pt idx="81" c:formatCode="0.000000">
                  <c:v>1111.03285180728</c:v>
                </c:pt>
                <c:pt idx="82" c:formatCode="0.000000">
                  <c:v>1111.03325738515</c:v>
                </c:pt>
                <c:pt idx="83" c:formatCode="0.000000">
                  <c:v>1111.03366296302</c:v>
                </c:pt>
                <c:pt idx="84" c:formatCode="0.000000">
                  <c:v>1111.03406854089</c:v>
                </c:pt>
                <c:pt idx="85" c:formatCode="0.000000">
                  <c:v>1111.03447411875</c:v>
                </c:pt>
                <c:pt idx="86" c:formatCode="0.000000">
                  <c:v>1111.03487969662</c:v>
                </c:pt>
                <c:pt idx="87" c:formatCode="0.000000">
                  <c:v>1111.03528527449</c:v>
                </c:pt>
                <c:pt idx="88" c:formatCode="0.000000">
                  <c:v>1111.03569085236</c:v>
                </c:pt>
                <c:pt idx="89" c:formatCode="0.000000">
                  <c:v>1111.03609643022</c:v>
                </c:pt>
                <c:pt idx="90" c:formatCode="0.000000">
                  <c:v>1111.03650200809</c:v>
                </c:pt>
                <c:pt idx="91" c:formatCode="0.000000">
                  <c:v>1111.03690758596</c:v>
                </c:pt>
                <c:pt idx="92" c:formatCode="0.000000">
                  <c:v>1111.03731316383</c:v>
                </c:pt>
                <c:pt idx="93" c:formatCode="0.000000">
                  <c:v>1111.0377187417</c:v>
                </c:pt>
                <c:pt idx="94" c:formatCode="0.000000">
                  <c:v>1111.03812431956</c:v>
                </c:pt>
                <c:pt idx="95" c:formatCode="0.000000">
                  <c:v>1111.03852989743</c:v>
                </c:pt>
                <c:pt idx="96" c:formatCode="0.000000">
                  <c:v>1111.0389354753</c:v>
                </c:pt>
                <c:pt idx="97" c:formatCode="0.000000">
                  <c:v>1111.03934105317</c:v>
                </c:pt>
                <c:pt idx="98" c:formatCode="0.000000">
                  <c:v>1111.03974663103</c:v>
                </c:pt>
                <c:pt idx="99" c:formatCode="0.000000">
                  <c:v>1111.0401522089</c:v>
                </c:pt>
                <c:pt idx="100" c:formatCode="0.000000">
                  <c:v>1111.04055778677</c:v>
                </c:pt>
                <c:pt idx="101" c:formatCode="0.000000">
                  <c:v>1111.04096336464</c:v>
                </c:pt>
                <c:pt idx="102" c:formatCode="0.000000">
                  <c:v>1111.0413689425</c:v>
                </c:pt>
                <c:pt idx="103" c:formatCode="0.000000">
                  <c:v>1111.04177452037</c:v>
                </c:pt>
                <c:pt idx="104" c:formatCode="0.000000">
                  <c:v>1111.04218009824</c:v>
                </c:pt>
                <c:pt idx="105" c:formatCode="0.000000">
                  <c:v>1111.04258567611</c:v>
                </c:pt>
                <c:pt idx="106" c:formatCode="0.000000">
                  <c:v>1111.04299125398</c:v>
                </c:pt>
                <c:pt idx="107" c:formatCode="0.000000">
                  <c:v>1111.04339683184</c:v>
                </c:pt>
                <c:pt idx="108" c:formatCode="0.000000">
                  <c:v>1111.04380240971</c:v>
                </c:pt>
                <c:pt idx="109" c:formatCode="0.000000">
                  <c:v>1111.04420798758</c:v>
                </c:pt>
                <c:pt idx="110" c:formatCode="0.000000">
                  <c:v>1111.04461356545</c:v>
                </c:pt>
                <c:pt idx="111" c:formatCode="0.000000">
                  <c:v>1111.04501914331</c:v>
                </c:pt>
                <c:pt idx="112" c:formatCode="0.000000">
                  <c:v>1111.04542472118</c:v>
                </c:pt>
                <c:pt idx="113" c:formatCode="0.000000">
                  <c:v>1111.04583029905</c:v>
                </c:pt>
                <c:pt idx="114" c:formatCode="0.000000">
                  <c:v>1111.04623587692</c:v>
                </c:pt>
                <c:pt idx="115" c:formatCode="0.000000">
                  <c:v>1111.04664145479</c:v>
                </c:pt>
                <c:pt idx="116" c:formatCode="0.000000">
                  <c:v>1111.04704703265</c:v>
                </c:pt>
                <c:pt idx="117" c:formatCode="0.000000">
                  <c:v>1111.04745261052</c:v>
                </c:pt>
                <c:pt idx="118" c:formatCode="0.000000">
                  <c:v>1111.04785818839</c:v>
                </c:pt>
                <c:pt idx="119" c:formatCode="0.000000">
                  <c:v>1111.04826376626</c:v>
                </c:pt>
                <c:pt idx="120" c:formatCode="0.000000">
                  <c:v>1111.04866934412</c:v>
                </c:pt>
                <c:pt idx="121" c:formatCode="0.000000">
                  <c:v>1111.04907492199</c:v>
                </c:pt>
                <c:pt idx="122" c:formatCode="0.000000">
                  <c:v>1111.04948049986</c:v>
                </c:pt>
                <c:pt idx="123" c:formatCode="0.000000">
                  <c:v>1111.04988607773</c:v>
                </c:pt>
                <c:pt idx="124" c:formatCode="0.000000">
                  <c:v>1111.05029165559</c:v>
                </c:pt>
                <c:pt idx="125" c:formatCode="0.000000">
                  <c:v>1111.05069723346</c:v>
                </c:pt>
                <c:pt idx="126" c:formatCode="0.000000">
                  <c:v>1111.05110281133</c:v>
                </c:pt>
                <c:pt idx="127" c:formatCode="0.000000">
                  <c:v>1111.0515083892</c:v>
                </c:pt>
                <c:pt idx="128" c:formatCode="0.000000">
                  <c:v>1111.05191396707</c:v>
                </c:pt>
                <c:pt idx="129" c:formatCode="0.000000">
                  <c:v>1111.05231954493</c:v>
                </c:pt>
                <c:pt idx="130" c:formatCode="0.000000">
                  <c:v>1111.0527251228</c:v>
                </c:pt>
                <c:pt idx="131" c:formatCode="0.000000">
                  <c:v>1111.05313070067</c:v>
                </c:pt>
                <c:pt idx="132" c:formatCode="0.000000">
                  <c:v>1111.05353627854</c:v>
                </c:pt>
                <c:pt idx="133" c:formatCode="0.000000">
                  <c:v>1111.0539418564</c:v>
                </c:pt>
                <c:pt idx="134" c:formatCode="0.000000">
                  <c:v>1111.05434743427</c:v>
                </c:pt>
                <c:pt idx="135" c:formatCode="0.000000">
                  <c:v>1111.05475301214</c:v>
                </c:pt>
                <c:pt idx="136" c:formatCode="0.000000">
                  <c:v>1111.05515859001</c:v>
                </c:pt>
                <c:pt idx="137" c:formatCode="0.000000">
                  <c:v>1111.05556416787</c:v>
                </c:pt>
                <c:pt idx="138" c:formatCode="0.000000">
                  <c:v>1111.05596974574</c:v>
                </c:pt>
                <c:pt idx="139" c:formatCode="0.000000">
                  <c:v>1111.05637532361</c:v>
                </c:pt>
                <c:pt idx="140" c:formatCode="0.000000">
                  <c:v>1111.05678090148</c:v>
                </c:pt>
                <c:pt idx="141" c:formatCode="0.000000">
                  <c:v>1111.05718647935</c:v>
                </c:pt>
                <c:pt idx="142" c:formatCode="0.000000">
                  <c:v>1111.05759205721</c:v>
                </c:pt>
                <c:pt idx="143" c:formatCode="0.000000">
                  <c:v>1111.05799763508</c:v>
                </c:pt>
                <c:pt idx="144" c:formatCode="0.000000">
                  <c:v>1111.05840321295</c:v>
                </c:pt>
                <c:pt idx="145" c:formatCode="0.000000">
                  <c:v>1111.05880879082</c:v>
                </c:pt>
                <c:pt idx="146" c:formatCode="0.000000">
                  <c:v>1111.05921436868</c:v>
                </c:pt>
                <c:pt idx="147" c:formatCode="0.000000">
                  <c:v>1111.05961994655</c:v>
                </c:pt>
                <c:pt idx="148" c:formatCode="0.000000">
                  <c:v>1111.06002552442</c:v>
                </c:pt>
                <c:pt idx="149" c:formatCode="0.000000">
                  <c:v>1111.06043110229</c:v>
                </c:pt>
                <c:pt idx="150" c:formatCode="0.000000">
                  <c:v>1111.06083668015</c:v>
                </c:pt>
                <c:pt idx="151" c:formatCode="0.000000">
                  <c:v>1111.06124225802</c:v>
                </c:pt>
                <c:pt idx="152" c:formatCode="0.000000">
                  <c:v>1111.06164783589</c:v>
                </c:pt>
                <c:pt idx="153" c:formatCode="0.000000">
                  <c:v>1111.06205341376</c:v>
                </c:pt>
                <c:pt idx="154" c:formatCode="0.000000">
                  <c:v>1111.06245899163</c:v>
                </c:pt>
                <c:pt idx="155" c:formatCode="0.000000">
                  <c:v>1111.06286456949</c:v>
                </c:pt>
                <c:pt idx="156" c:formatCode="0.000000">
                  <c:v>1111.06327014736</c:v>
                </c:pt>
                <c:pt idx="157" c:formatCode="0.000000">
                  <c:v>1111.06367572523</c:v>
                </c:pt>
                <c:pt idx="158" c:formatCode="0.000000">
                  <c:v>1111.0640813031</c:v>
                </c:pt>
                <c:pt idx="159" c:formatCode="0.000000">
                  <c:v>1111.06448688096</c:v>
                </c:pt>
                <c:pt idx="160" c:formatCode="0.000000">
                  <c:v>1111.06489245883</c:v>
                </c:pt>
                <c:pt idx="161" c:formatCode="0.000000">
                  <c:v>1111.0652980367</c:v>
                </c:pt>
                <c:pt idx="162" c:formatCode="0.000000">
                  <c:v>1111.06570361457</c:v>
                </c:pt>
                <c:pt idx="163" c:formatCode="0.000000">
                  <c:v>1111.06610919243</c:v>
                </c:pt>
                <c:pt idx="164" c:formatCode="0.000000">
                  <c:v>1111.0665147703</c:v>
                </c:pt>
                <c:pt idx="165" c:formatCode="0.000000">
                  <c:v>1111.06692034817</c:v>
                </c:pt>
                <c:pt idx="166" c:formatCode="0.000000">
                  <c:v>1111.06732592604</c:v>
                </c:pt>
                <c:pt idx="167" c:formatCode="0.000000">
                  <c:v>1111.06773150391</c:v>
                </c:pt>
                <c:pt idx="168" c:formatCode="0.000000">
                  <c:v>1111.06813708177</c:v>
                </c:pt>
                <c:pt idx="169" c:formatCode="0.000000">
                  <c:v>1111.06854265964</c:v>
                </c:pt>
                <c:pt idx="170" c:formatCode="0.000000">
                  <c:v>1111.06894823751</c:v>
                </c:pt>
                <c:pt idx="171" c:formatCode="0.000000">
                  <c:v>1111.06935381538</c:v>
                </c:pt>
                <c:pt idx="172" c:formatCode="0.000000">
                  <c:v>1111.06975939324</c:v>
                </c:pt>
                <c:pt idx="173" c:formatCode="0.000000">
                  <c:v>1111.07016497111</c:v>
                </c:pt>
                <c:pt idx="174" c:formatCode="0.000000">
                  <c:v>1111.07057054898</c:v>
                </c:pt>
                <c:pt idx="175" c:formatCode="0.000000">
                  <c:v>1111.07097612685</c:v>
                </c:pt>
                <c:pt idx="176" c:formatCode="0.000000">
                  <c:v>1111.07138170471</c:v>
                </c:pt>
                <c:pt idx="177" c:formatCode="0.000000">
                  <c:v>1111.07178728258</c:v>
                </c:pt>
                <c:pt idx="178" c:formatCode="0.000000">
                  <c:v>1111.07219286045</c:v>
                </c:pt>
                <c:pt idx="179" c:formatCode="0.000000">
                  <c:v>1111.07259843832</c:v>
                </c:pt>
                <c:pt idx="180" c:formatCode="0.000000">
                  <c:v>1111.07300401619</c:v>
                </c:pt>
                <c:pt idx="181" c:formatCode="0.000000">
                  <c:v>1111.07340959405</c:v>
                </c:pt>
                <c:pt idx="182" c:formatCode="0.000000">
                  <c:v>1111.07381517192</c:v>
                </c:pt>
                <c:pt idx="183" c:formatCode="0.000000">
                  <c:v>1111.07422074979</c:v>
                </c:pt>
                <c:pt idx="184" c:formatCode="0.000000">
                  <c:v>1111.07462632766</c:v>
                </c:pt>
                <c:pt idx="185" c:formatCode="0.000000">
                  <c:v>1111.07503190552</c:v>
                </c:pt>
                <c:pt idx="186" c:formatCode="0.000000">
                  <c:v>1111.07543748339</c:v>
                </c:pt>
                <c:pt idx="187" c:formatCode="0.000000">
                  <c:v>1111.07584306126</c:v>
                </c:pt>
                <c:pt idx="188" c:formatCode="0.000000">
                  <c:v>1111.07624863913</c:v>
                </c:pt>
                <c:pt idx="189" c:formatCode="0.000000">
                  <c:v>1111.07665421699</c:v>
                </c:pt>
                <c:pt idx="190" c:formatCode="0.000000">
                  <c:v>1111.07705979486</c:v>
                </c:pt>
                <c:pt idx="191" c:formatCode="0.000000">
                  <c:v>1111.07746537273</c:v>
                </c:pt>
                <c:pt idx="192" c:formatCode="0.000000">
                  <c:v>1111.0778709506</c:v>
                </c:pt>
                <c:pt idx="193" c:formatCode="0.000000">
                  <c:v>1111.07827652847</c:v>
                </c:pt>
                <c:pt idx="194" c:formatCode="0.000000">
                  <c:v>1111.07868210633</c:v>
                </c:pt>
                <c:pt idx="195" c:formatCode="0.000000">
                  <c:v>1111.0790876842</c:v>
                </c:pt>
                <c:pt idx="196" c:formatCode="0.000000">
                  <c:v>1111.07949326207</c:v>
                </c:pt>
                <c:pt idx="197" c:formatCode="0.000000">
                  <c:v>1111.07989883994</c:v>
                </c:pt>
                <c:pt idx="198" c:formatCode="0.000000">
                  <c:v>1111.0803044178</c:v>
                </c:pt>
                <c:pt idx="199" c:formatCode="0.000000">
                  <c:v>1111.08070999567</c:v>
                </c:pt>
                <c:pt idx="200" c:formatCode="0.000000">
                  <c:v>1111.08111557354</c:v>
                </c:pt>
              </c:numCache>
            </c:numRef>
          </c:cat>
          <c:val>
            <c:numRef>
              <c:f>'RLC Transient'!$C$22:$C$222</c:f>
              <c:numCache>
                <c:formatCode>0.0000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'RLC Transient'!$D$21</c:f>
              <c:strCache>
                <c:ptCount val="1"/>
                <c:pt idx="0">
                  <c:v>V_C - Voltage across Capacitor (V)</c:v>
                </c:pt>
              </c:strCache>
            </c:strRef>
          </c:tx>
          <c:spPr>
            <a:ln w="28440" cap="rnd" cmpd="sng" algn="ctr">
              <a:solidFill>
                <a:srgbClr val="98B855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zh-CN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'RLC Transient'!$A$22:$A$222</c:f>
              <c:numCache>
                <c:formatCode>0.000000</c:formatCode>
                <c:ptCount val="201"/>
                <c:pt idx="0" c:formatCode="0.000000">
                  <c:v>1111</c:v>
                </c:pt>
                <c:pt idx="1" c:formatCode="0.000000">
                  <c:v>1111.00040557787</c:v>
                </c:pt>
                <c:pt idx="2" c:formatCode="0.000000">
                  <c:v>1111.00081115574</c:v>
                </c:pt>
                <c:pt idx="3" c:formatCode="0.000000">
                  <c:v>1111.0012167336</c:v>
                </c:pt>
                <c:pt idx="4" c:formatCode="0.000000">
                  <c:v>1111.00162231147</c:v>
                </c:pt>
                <c:pt idx="5" c:formatCode="0.000000">
                  <c:v>1111.00202788934</c:v>
                </c:pt>
                <c:pt idx="6" c:formatCode="0.000000">
                  <c:v>1111.00243346721</c:v>
                </c:pt>
                <c:pt idx="7" c:formatCode="0.000000">
                  <c:v>1111.00283904507</c:v>
                </c:pt>
                <c:pt idx="8" c:formatCode="0.000000">
                  <c:v>1111.00324462294</c:v>
                </c:pt>
                <c:pt idx="9" c:formatCode="0.000000">
                  <c:v>1111.00365020081</c:v>
                </c:pt>
                <c:pt idx="10" c:formatCode="0.000000">
                  <c:v>1111.00405577868</c:v>
                </c:pt>
                <c:pt idx="11" c:formatCode="0.000000">
                  <c:v>1111.00446135654</c:v>
                </c:pt>
                <c:pt idx="12" c:formatCode="0.000000">
                  <c:v>1111.00486693441</c:v>
                </c:pt>
                <c:pt idx="13" c:formatCode="0.000000">
                  <c:v>1111.00527251228</c:v>
                </c:pt>
                <c:pt idx="14" c:formatCode="0.000000">
                  <c:v>1111.00567809015</c:v>
                </c:pt>
                <c:pt idx="15" c:formatCode="0.000000">
                  <c:v>1111.00608366802</c:v>
                </c:pt>
                <c:pt idx="16" c:formatCode="0.000000">
                  <c:v>1111.00648924588</c:v>
                </c:pt>
                <c:pt idx="17" c:formatCode="0.000000">
                  <c:v>1111.00689482375</c:v>
                </c:pt>
                <c:pt idx="18" c:formatCode="0.000000">
                  <c:v>1111.00730040162</c:v>
                </c:pt>
                <c:pt idx="19" c:formatCode="0.000000">
                  <c:v>1111.00770597949</c:v>
                </c:pt>
                <c:pt idx="20" c:formatCode="0.000000">
                  <c:v>1111.00811155735</c:v>
                </c:pt>
                <c:pt idx="21" c:formatCode="0.000000">
                  <c:v>1111.00851713522</c:v>
                </c:pt>
                <c:pt idx="22" c:formatCode="0.000000">
                  <c:v>1111.00892271309</c:v>
                </c:pt>
                <c:pt idx="23" c:formatCode="0.000000">
                  <c:v>1111.00932829096</c:v>
                </c:pt>
                <c:pt idx="24" c:formatCode="0.000000">
                  <c:v>1111.00973386882</c:v>
                </c:pt>
                <c:pt idx="25" c:formatCode="0.000000">
                  <c:v>1111.01013944669</c:v>
                </c:pt>
                <c:pt idx="26" c:formatCode="0.000000">
                  <c:v>1111.01054502456</c:v>
                </c:pt>
                <c:pt idx="27" c:formatCode="0.000000">
                  <c:v>1111.01095060243</c:v>
                </c:pt>
                <c:pt idx="28" c:formatCode="0.000000">
                  <c:v>1111.0113561803</c:v>
                </c:pt>
                <c:pt idx="29" c:formatCode="0.000000">
                  <c:v>1111.01176175816</c:v>
                </c:pt>
                <c:pt idx="30" c:formatCode="0.000000">
                  <c:v>1111.01216733603</c:v>
                </c:pt>
                <c:pt idx="31" c:formatCode="0.000000">
                  <c:v>1111.0125729139</c:v>
                </c:pt>
                <c:pt idx="32" c:formatCode="0.000000">
                  <c:v>1111.01297849177</c:v>
                </c:pt>
                <c:pt idx="33" c:formatCode="0.000000">
                  <c:v>1111.01338406963</c:v>
                </c:pt>
                <c:pt idx="34" c:formatCode="0.000000">
                  <c:v>1111.0137896475</c:v>
                </c:pt>
                <c:pt idx="35" c:formatCode="0.000000">
                  <c:v>1111.01419522537</c:v>
                </c:pt>
                <c:pt idx="36" c:formatCode="0.000000">
                  <c:v>1111.01460080324</c:v>
                </c:pt>
                <c:pt idx="37" c:formatCode="0.000000">
                  <c:v>1111.0150063811</c:v>
                </c:pt>
                <c:pt idx="38" c:formatCode="0.000000">
                  <c:v>1111.01541195897</c:v>
                </c:pt>
                <c:pt idx="39" c:formatCode="0.000000">
                  <c:v>1111.01581753684</c:v>
                </c:pt>
                <c:pt idx="40" c:formatCode="0.000000">
                  <c:v>1111.01622311471</c:v>
                </c:pt>
                <c:pt idx="41" c:formatCode="0.000000">
                  <c:v>1111.01662869258</c:v>
                </c:pt>
                <c:pt idx="42" c:formatCode="0.000000">
                  <c:v>1111.01703427044</c:v>
                </c:pt>
                <c:pt idx="43" c:formatCode="0.000000">
                  <c:v>1111.01743984831</c:v>
                </c:pt>
                <c:pt idx="44" c:formatCode="0.000000">
                  <c:v>1111.01784542618</c:v>
                </c:pt>
                <c:pt idx="45" c:formatCode="0.000000">
                  <c:v>1111.01825100405</c:v>
                </c:pt>
                <c:pt idx="46" c:formatCode="0.000000">
                  <c:v>1111.01865658191</c:v>
                </c:pt>
                <c:pt idx="47" c:formatCode="0.000000">
                  <c:v>1111.01906215978</c:v>
                </c:pt>
                <c:pt idx="48" c:formatCode="0.000000">
                  <c:v>1111.01946773765</c:v>
                </c:pt>
                <c:pt idx="49" c:formatCode="0.000000">
                  <c:v>1111.01987331552</c:v>
                </c:pt>
                <c:pt idx="50" c:formatCode="0.000000">
                  <c:v>1111.02027889338</c:v>
                </c:pt>
                <c:pt idx="51" c:formatCode="0.000000">
                  <c:v>1111.02068447125</c:v>
                </c:pt>
                <c:pt idx="52" c:formatCode="0.000000">
                  <c:v>1111.02109004912</c:v>
                </c:pt>
                <c:pt idx="53" c:formatCode="0.000000">
                  <c:v>1111.02149562699</c:v>
                </c:pt>
                <c:pt idx="54" c:formatCode="0.000000">
                  <c:v>1111.02190120486</c:v>
                </c:pt>
                <c:pt idx="55" c:formatCode="0.000000">
                  <c:v>1111.02230678272</c:v>
                </c:pt>
                <c:pt idx="56" c:formatCode="0.000000">
                  <c:v>1111.02271236059</c:v>
                </c:pt>
                <c:pt idx="57" c:formatCode="0.000000">
                  <c:v>1111.02311793846</c:v>
                </c:pt>
                <c:pt idx="58" c:formatCode="0.000000">
                  <c:v>1111.02352351633</c:v>
                </c:pt>
                <c:pt idx="59" c:formatCode="0.000000">
                  <c:v>1111.02392909419</c:v>
                </c:pt>
                <c:pt idx="60" c:formatCode="0.000000">
                  <c:v>1111.02433467206</c:v>
                </c:pt>
                <c:pt idx="61" c:formatCode="0.000000">
                  <c:v>1111.02474024993</c:v>
                </c:pt>
                <c:pt idx="62" c:formatCode="0.000000">
                  <c:v>1111.0251458278</c:v>
                </c:pt>
                <c:pt idx="63" c:formatCode="0.000000">
                  <c:v>1111.02555140566</c:v>
                </c:pt>
                <c:pt idx="64" c:formatCode="0.000000">
                  <c:v>1111.02595698353</c:v>
                </c:pt>
                <c:pt idx="65" c:formatCode="0.000000">
                  <c:v>1111.0263625614</c:v>
                </c:pt>
                <c:pt idx="66" c:formatCode="0.000000">
                  <c:v>1111.02676813927</c:v>
                </c:pt>
                <c:pt idx="67" c:formatCode="0.000000">
                  <c:v>1111.02717371714</c:v>
                </c:pt>
                <c:pt idx="68" c:formatCode="0.000000">
                  <c:v>1111.027579295</c:v>
                </c:pt>
                <c:pt idx="69" c:formatCode="0.000000">
                  <c:v>1111.02798487287</c:v>
                </c:pt>
                <c:pt idx="70" c:formatCode="0.000000">
                  <c:v>1111.02839045074</c:v>
                </c:pt>
                <c:pt idx="71" c:formatCode="0.000000">
                  <c:v>1111.02879602861</c:v>
                </c:pt>
                <c:pt idx="72" c:formatCode="0.000000">
                  <c:v>1111.02920160647</c:v>
                </c:pt>
                <c:pt idx="73" c:formatCode="0.000000">
                  <c:v>1111.02960718434</c:v>
                </c:pt>
                <c:pt idx="74" c:formatCode="0.000000">
                  <c:v>1111.03001276221</c:v>
                </c:pt>
                <c:pt idx="75" c:formatCode="0.000000">
                  <c:v>1111.03041834008</c:v>
                </c:pt>
                <c:pt idx="76" c:formatCode="0.000000">
                  <c:v>1111.03082391794</c:v>
                </c:pt>
                <c:pt idx="77" c:formatCode="0.000000">
                  <c:v>1111.03122949581</c:v>
                </c:pt>
                <c:pt idx="78" c:formatCode="0.000000">
                  <c:v>1111.03163507368</c:v>
                </c:pt>
                <c:pt idx="79" c:formatCode="0.000000">
                  <c:v>1111.03204065155</c:v>
                </c:pt>
                <c:pt idx="80" c:formatCode="0.000000">
                  <c:v>1111.03244622942</c:v>
                </c:pt>
                <c:pt idx="81" c:formatCode="0.000000">
                  <c:v>1111.03285180728</c:v>
                </c:pt>
                <c:pt idx="82" c:formatCode="0.000000">
                  <c:v>1111.03325738515</c:v>
                </c:pt>
                <c:pt idx="83" c:formatCode="0.000000">
                  <c:v>1111.03366296302</c:v>
                </c:pt>
                <c:pt idx="84" c:formatCode="0.000000">
                  <c:v>1111.03406854089</c:v>
                </c:pt>
                <c:pt idx="85" c:formatCode="0.000000">
                  <c:v>1111.03447411875</c:v>
                </c:pt>
                <c:pt idx="86" c:formatCode="0.000000">
                  <c:v>1111.03487969662</c:v>
                </c:pt>
                <c:pt idx="87" c:formatCode="0.000000">
                  <c:v>1111.03528527449</c:v>
                </c:pt>
                <c:pt idx="88" c:formatCode="0.000000">
                  <c:v>1111.03569085236</c:v>
                </c:pt>
                <c:pt idx="89" c:formatCode="0.000000">
                  <c:v>1111.03609643022</c:v>
                </c:pt>
                <c:pt idx="90" c:formatCode="0.000000">
                  <c:v>1111.03650200809</c:v>
                </c:pt>
                <c:pt idx="91" c:formatCode="0.000000">
                  <c:v>1111.03690758596</c:v>
                </c:pt>
                <c:pt idx="92" c:formatCode="0.000000">
                  <c:v>1111.03731316383</c:v>
                </c:pt>
                <c:pt idx="93" c:formatCode="0.000000">
                  <c:v>1111.0377187417</c:v>
                </c:pt>
                <c:pt idx="94" c:formatCode="0.000000">
                  <c:v>1111.03812431956</c:v>
                </c:pt>
                <c:pt idx="95" c:formatCode="0.000000">
                  <c:v>1111.03852989743</c:v>
                </c:pt>
                <c:pt idx="96" c:formatCode="0.000000">
                  <c:v>1111.0389354753</c:v>
                </c:pt>
                <c:pt idx="97" c:formatCode="0.000000">
                  <c:v>1111.03934105317</c:v>
                </c:pt>
                <c:pt idx="98" c:formatCode="0.000000">
                  <c:v>1111.03974663103</c:v>
                </c:pt>
                <c:pt idx="99" c:formatCode="0.000000">
                  <c:v>1111.0401522089</c:v>
                </c:pt>
                <c:pt idx="100" c:formatCode="0.000000">
                  <c:v>1111.04055778677</c:v>
                </c:pt>
                <c:pt idx="101" c:formatCode="0.000000">
                  <c:v>1111.04096336464</c:v>
                </c:pt>
                <c:pt idx="102" c:formatCode="0.000000">
                  <c:v>1111.0413689425</c:v>
                </c:pt>
                <c:pt idx="103" c:formatCode="0.000000">
                  <c:v>1111.04177452037</c:v>
                </c:pt>
                <c:pt idx="104" c:formatCode="0.000000">
                  <c:v>1111.04218009824</c:v>
                </c:pt>
                <c:pt idx="105" c:formatCode="0.000000">
                  <c:v>1111.04258567611</c:v>
                </c:pt>
                <c:pt idx="106" c:formatCode="0.000000">
                  <c:v>1111.04299125398</c:v>
                </c:pt>
                <c:pt idx="107" c:formatCode="0.000000">
                  <c:v>1111.04339683184</c:v>
                </c:pt>
                <c:pt idx="108" c:formatCode="0.000000">
                  <c:v>1111.04380240971</c:v>
                </c:pt>
                <c:pt idx="109" c:formatCode="0.000000">
                  <c:v>1111.04420798758</c:v>
                </c:pt>
                <c:pt idx="110" c:formatCode="0.000000">
                  <c:v>1111.04461356545</c:v>
                </c:pt>
                <c:pt idx="111" c:formatCode="0.000000">
                  <c:v>1111.04501914331</c:v>
                </c:pt>
                <c:pt idx="112" c:formatCode="0.000000">
                  <c:v>1111.04542472118</c:v>
                </c:pt>
                <c:pt idx="113" c:formatCode="0.000000">
                  <c:v>1111.04583029905</c:v>
                </c:pt>
                <c:pt idx="114" c:formatCode="0.000000">
                  <c:v>1111.04623587692</c:v>
                </c:pt>
                <c:pt idx="115" c:formatCode="0.000000">
                  <c:v>1111.04664145479</c:v>
                </c:pt>
                <c:pt idx="116" c:formatCode="0.000000">
                  <c:v>1111.04704703265</c:v>
                </c:pt>
                <c:pt idx="117" c:formatCode="0.000000">
                  <c:v>1111.04745261052</c:v>
                </c:pt>
                <c:pt idx="118" c:formatCode="0.000000">
                  <c:v>1111.04785818839</c:v>
                </c:pt>
                <c:pt idx="119" c:formatCode="0.000000">
                  <c:v>1111.04826376626</c:v>
                </c:pt>
                <c:pt idx="120" c:formatCode="0.000000">
                  <c:v>1111.04866934412</c:v>
                </c:pt>
                <c:pt idx="121" c:formatCode="0.000000">
                  <c:v>1111.04907492199</c:v>
                </c:pt>
                <c:pt idx="122" c:formatCode="0.000000">
                  <c:v>1111.04948049986</c:v>
                </c:pt>
                <c:pt idx="123" c:formatCode="0.000000">
                  <c:v>1111.04988607773</c:v>
                </c:pt>
                <c:pt idx="124" c:formatCode="0.000000">
                  <c:v>1111.05029165559</c:v>
                </c:pt>
                <c:pt idx="125" c:formatCode="0.000000">
                  <c:v>1111.05069723346</c:v>
                </c:pt>
                <c:pt idx="126" c:formatCode="0.000000">
                  <c:v>1111.05110281133</c:v>
                </c:pt>
                <c:pt idx="127" c:formatCode="0.000000">
                  <c:v>1111.0515083892</c:v>
                </c:pt>
                <c:pt idx="128" c:formatCode="0.000000">
                  <c:v>1111.05191396707</c:v>
                </c:pt>
                <c:pt idx="129" c:formatCode="0.000000">
                  <c:v>1111.05231954493</c:v>
                </c:pt>
                <c:pt idx="130" c:formatCode="0.000000">
                  <c:v>1111.0527251228</c:v>
                </c:pt>
                <c:pt idx="131" c:formatCode="0.000000">
                  <c:v>1111.05313070067</c:v>
                </c:pt>
                <c:pt idx="132" c:formatCode="0.000000">
                  <c:v>1111.05353627854</c:v>
                </c:pt>
                <c:pt idx="133" c:formatCode="0.000000">
                  <c:v>1111.0539418564</c:v>
                </c:pt>
                <c:pt idx="134" c:formatCode="0.000000">
                  <c:v>1111.05434743427</c:v>
                </c:pt>
                <c:pt idx="135" c:formatCode="0.000000">
                  <c:v>1111.05475301214</c:v>
                </c:pt>
                <c:pt idx="136" c:formatCode="0.000000">
                  <c:v>1111.05515859001</c:v>
                </c:pt>
                <c:pt idx="137" c:formatCode="0.000000">
                  <c:v>1111.05556416787</c:v>
                </c:pt>
                <c:pt idx="138" c:formatCode="0.000000">
                  <c:v>1111.05596974574</c:v>
                </c:pt>
                <c:pt idx="139" c:formatCode="0.000000">
                  <c:v>1111.05637532361</c:v>
                </c:pt>
                <c:pt idx="140" c:formatCode="0.000000">
                  <c:v>1111.05678090148</c:v>
                </c:pt>
                <c:pt idx="141" c:formatCode="0.000000">
                  <c:v>1111.05718647935</c:v>
                </c:pt>
                <c:pt idx="142" c:formatCode="0.000000">
                  <c:v>1111.05759205721</c:v>
                </c:pt>
                <c:pt idx="143" c:formatCode="0.000000">
                  <c:v>1111.05799763508</c:v>
                </c:pt>
                <c:pt idx="144" c:formatCode="0.000000">
                  <c:v>1111.05840321295</c:v>
                </c:pt>
                <c:pt idx="145" c:formatCode="0.000000">
                  <c:v>1111.05880879082</c:v>
                </c:pt>
                <c:pt idx="146" c:formatCode="0.000000">
                  <c:v>1111.05921436868</c:v>
                </c:pt>
                <c:pt idx="147" c:formatCode="0.000000">
                  <c:v>1111.05961994655</c:v>
                </c:pt>
                <c:pt idx="148" c:formatCode="0.000000">
                  <c:v>1111.06002552442</c:v>
                </c:pt>
                <c:pt idx="149" c:formatCode="0.000000">
                  <c:v>1111.06043110229</c:v>
                </c:pt>
                <c:pt idx="150" c:formatCode="0.000000">
                  <c:v>1111.06083668015</c:v>
                </c:pt>
                <c:pt idx="151" c:formatCode="0.000000">
                  <c:v>1111.06124225802</c:v>
                </c:pt>
                <c:pt idx="152" c:formatCode="0.000000">
                  <c:v>1111.06164783589</c:v>
                </c:pt>
                <c:pt idx="153" c:formatCode="0.000000">
                  <c:v>1111.06205341376</c:v>
                </c:pt>
                <c:pt idx="154" c:formatCode="0.000000">
                  <c:v>1111.06245899163</c:v>
                </c:pt>
                <c:pt idx="155" c:formatCode="0.000000">
                  <c:v>1111.06286456949</c:v>
                </c:pt>
                <c:pt idx="156" c:formatCode="0.000000">
                  <c:v>1111.06327014736</c:v>
                </c:pt>
                <c:pt idx="157" c:formatCode="0.000000">
                  <c:v>1111.06367572523</c:v>
                </c:pt>
                <c:pt idx="158" c:formatCode="0.000000">
                  <c:v>1111.0640813031</c:v>
                </c:pt>
                <c:pt idx="159" c:formatCode="0.000000">
                  <c:v>1111.06448688096</c:v>
                </c:pt>
                <c:pt idx="160" c:formatCode="0.000000">
                  <c:v>1111.06489245883</c:v>
                </c:pt>
                <c:pt idx="161" c:formatCode="0.000000">
                  <c:v>1111.0652980367</c:v>
                </c:pt>
                <c:pt idx="162" c:formatCode="0.000000">
                  <c:v>1111.06570361457</c:v>
                </c:pt>
                <c:pt idx="163" c:formatCode="0.000000">
                  <c:v>1111.06610919243</c:v>
                </c:pt>
                <c:pt idx="164" c:formatCode="0.000000">
                  <c:v>1111.0665147703</c:v>
                </c:pt>
                <c:pt idx="165" c:formatCode="0.000000">
                  <c:v>1111.06692034817</c:v>
                </c:pt>
                <c:pt idx="166" c:formatCode="0.000000">
                  <c:v>1111.06732592604</c:v>
                </c:pt>
                <c:pt idx="167" c:formatCode="0.000000">
                  <c:v>1111.06773150391</c:v>
                </c:pt>
                <c:pt idx="168" c:formatCode="0.000000">
                  <c:v>1111.06813708177</c:v>
                </c:pt>
                <c:pt idx="169" c:formatCode="0.000000">
                  <c:v>1111.06854265964</c:v>
                </c:pt>
                <c:pt idx="170" c:formatCode="0.000000">
                  <c:v>1111.06894823751</c:v>
                </c:pt>
                <c:pt idx="171" c:formatCode="0.000000">
                  <c:v>1111.06935381538</c:v>
                </c:pt>
                <c:pt idx="172" c:formatCode="0.000000">
                  <c:v>1111.06975939324</c:v>
                </c:pt>
                <c:pt idx="173" c:formatCode="0.000000">
                  <c:v>1111.07016497111</c:v>
                </c:pt>
                <c:pt idx="174" c:formatCode="0.000000">
                  <c:v>1111.07057054898</c:v>
                </c:pt>
                <c:pt idx="175" c:formatCode="0.000000">
                  <c:v>1111.07097612685</c:v>
                </c:pt>
                <c:pt idx="176" c:formatCode="0.000000">
                  <c:v>1111.07138170471</c:v>
                </c:pt>
                <c:pt idx="177" c:formatCode="0.000000">
                  <c:v>1111.07178728258</c:v>
                </c:pt>
                <c:pt idx="178" c:formatCode="0.000000">
                  <c:v>1111.07219286045</c:v>
                </c:pt>
                <c:pt idx="179" c:formatCode="0.000000">
                  <c:v>1111.07259843832</c:v>
                </c:pt>
                <c:pt idx="180" c:formatCode="0.000000">
                  <c:v>1111.07300401619</c:v>
                </c:pt>
                <c:pt idx="181" c:formatCode="0.000000">
                  <c:v>1111.07340959405</c:v>
                </c:pt>
                <c:pt idx="182" c:formatCode="0.000000">
                  <c:v>1111.07381517192</c:v>
                </c:pt>
                <c:pt idx="183" c:formatCode="0.000000">
                  <c:v>1111.07422074979</c:v>
                </c:pt>
                <c:pt idx="184" c:formatCode="0.000000">
                  <c:v>1111.07462632766</c:v>
                </c:pt>
                <c:pt idx="185" c:formatCode="0.000000">
                  <c:v>1111.07503190552</c:v>
                </c:pt>
                <c:pt idx="186" c:formatCode="0.000000">
                  <c:v>1111.07543748339</c:v>
                </c:pt>
                <c:pt idx="187" c:formatCode="0.000000">
                  <c:v>1111.07584306126</c:v>
                </c:pt>
                <c:pt idx="188" c:formatCode="0.000000">
                  <c:v>1111.07624863913</c:v>
                </c:pt>
                <c:pt idx="189" c:formatCode="0.000000">
                  <c:v>1111.07665421699</c:v>
                </c:pt>
                <c:pt idx="190" c:formatCode="0.000000">
                  <c:v>1111.07705979486</c:v>
                </c:pt>
                <c:pt idx="191" c:formatCode="0.000000">
                  <c:v>1111.07746537273</c:v>
                </c:pt>
                <c:pt idx="192" c:formatCode="0.000000">
                  <c:v>1111.0778709506</c:v>
                </c:pt>
                <c:pt idx="193" c:formatCode="0.000000">
                  <c:v>1111.07827652847</c:v>
                </c:pt>
                <c:pt idx="194" c:formatCode="0.000000">
                  <c:v>1111.07868210633</c:v>
                </c:pt>
                <c:pt idx="195" c:formatCode="0.000000">
                  <c:v>1111.0790876842</c:v>
                </c:pt>
                <c:pt idx="196" c:formatCode="0.000000">
                  <c:v>1111.07949326207</c:v>
                </c:pt>
                <c:pt idx="197" c:formatCode="0.000000">
                  <c:v>1111.07989883994</c:v>
                </c:pt>
                <c:pt idx="198" c:formatCode="0.000000">
                  <c:v>1111.0803044178</c:v>
                </c:pt>
                <c:pt idx="199" c:formatCode="0.000000">
                  <c:v>1111.08070999567</c:v>
                </c:pt>
                <c:pt idx="200" c:formatCode="0.000000">
                  <c:v>1111.08111557354</c:v>
                </c:pt>
              </c:numCache>
            </c:numRef>
          </c:cat>
          <c:val>
            <c:numRef>
              <c:f>'RLC Transient'!$D$22:$D$222</c:f>
              <c:numCache>
                <c:formatCode>0.0000</c:formatCode>
                <c:ptCount val="201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10</c:v>
                </c:pt>
                <c:pt idx="67">
                  <c:v>10</c:v>
                </c:pt>
                <c:pt idx="68">
                  <c:v>10</c:v>
                </c:pt>
                <c:pt idx="69">
                  <c:v>10</c:v>
                </c:pt>
                <c:pt idx="70">
                  <c:v>10</c:v>
                </c:pt>
                <c:pt idx="71">
                  <c:v>10</c:v>
                </c:pt>
                <c:pt idx="72">
                  <c:v>10</c:v>
                </c:pt>
                <c:pt idx="73">
                  <c:v>10</c:v>
                </c:pt>
                <c:pt idx="74">
                  <c:v>10</c:v>
                </c:pt>
                <c:pt idx="75">
                  <c:v>10</c:v>
                </c:pt>
                <c:pt idx="76">
                  <c:v>10</c:v>
                </c:pt>
                <c:pt idx="77">
                  <c:v>10</c:v>
                </c:pt>
                <c:pt idx="78">
                  <c:v>10</c:v>
                </c:pt>
                <c:pt idx="79">
                  <c:v>10</c:v>
                </c:pt>
                <c:pt idx="80">
                  <c:v>10</c:v>
                </c:pt>
                <c:pt idx="81">
                  <c:v>10</c:v>
                </c:pt>
                <c:pt idx="82">
                  <c:v>10</c:v>
                </c:pt>
                <c:pt idx="83">
                  <c:v>10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10</c:v>
                </c:pt>
                <c:pt idx="88">
                  <c:v>10</c:v>
                </c:pt>
                <c:pt idx="89">
                  <c:v>10</c:v>
                </c:pt>
                <c:pt idx="90">
                  <c:v>10</c:v>
                </c:pt>
                <c:pt idx="91">
                  <c:v>10</c:v>
                </c:pt>
                <c:pt idx="92">
                  <c:v>10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  <c:pt idx="101">
                  <c:v>10</c:v>
                </c:pt>
                <c:pt idx="102">
                  <c:v>10</c:v>
                </c:pt>
                <c:pt idx="103">
                  <c:v>10</c:v>
                </c:pt>
                <c:pt idx="104">
                  <c:v>10</c:v>
                </c:pt>
                <c:pt idx="105">
                  <c:v>10</c:v>
                </c:pt>
                <c:pt idx="106">
                  <c:v>10</c:v>
                </c:pt>
                <c:pt idx="107">
                  <c:v>10</c:v>
                </c:pt>
                <c:pt idx="108">
                  <c:v>10</c:v>
                </c:pt>
                <c:pt idx="109">
                  <c:v>10</c:v>
                </c:pt>
                <c:pt idx="110">
                  <c:v>10</c:v>
                </c:pt>
                <c:pt idx="111">
                  <c:v>10</c:v>
                </c:pt>
                <c:pt idx="112">
                  <c:v>10</c:v>
                </c:pt>
                <c:pt idx="113">
                  <c:v>10</c:v>
                </c:pt>
                <c:pt idx="114">
                  <c:v>10</c:v>
                </c:pt>
                <c:pt idx="115">
                  <c:v>10</c:v>
                </c:pt>
                <c:pt idx="116">
                  <c:v>10</c:v>
                </c:pt>
                <c:pt idx="117">
                  <c:v>10</c:v>
                </c:pt>
                <c:pt idx="118">
                  <c:v>10</c:v>
                </c:pt>
                <c:pt idx="119">
                  <c:v>10</c:v>
                </c:pt>
                <c:pt idx="120">
                  <c:v>10</c:v>
                </c:pt>
                <c:pt idx="121">
                  <c:v>10</c:v>
                </c:pt>
                <c:pt idx="122">
                  <c:v>10</c:v>
                </c:pt>
                <c:pt idx="123">
                  <c:v>10</c:v>
                </c:pt>
                <c:pt idx="124">
                  <c:v>10</c:v>
                </c:pt>
                <c:pt idx="125">
                  <c:v>10</c:v>
                </c:pt>
                <c:pt idx="126">
                  <c:v>10</c:v>
                </c:pt>
                <c:pt idx="127">
                  <c:v>10</c:v>
                </c:pt>
                <c:pt idx="128">
                  <c:v>10</c:v>
                </c:pt>
                <c:pt idx="129">
                  <c:v>10</c:v>
                </c:pt>
                <c:pt idx="130">
                  <c:v>10</c:v>
                </c:pt>
                <c:pt idx="131">
                  <c:v>10</c:v>
                </c:pt>
                <c:pt idx="132">
                  <c:v>10</c:v>
                </c:pt>
                <c:pt idx="133">
                  <c:v>10</c:v>
                </c:pt>
                <c:pt idx="134">
                  <c:v>10</c:v>
                </c:pt>
                <c:pt idx="135">
                  <c:v>10</c:v>
                </c:pt>
                <c:pt idx="136">
                  <c:v>10</c:v>
                </c:pt>
                <c:pt idx="137">
                  <c:v>10</c:v>
                </c:pt>
                <c:pt idx="138">
                  <c:v>10</c:v>
                </c:pt>
                <c:pt idx="139">
                  <c:v>10</c:v>
                </c:pt>
                <c:pt idx="140">
                  <c:v>10</c:v>
                </c:pt>
                <c:pt idx="141">
                  <c:v>10</c:v>
                </c:pt>
                <c:pt idx="142">
                  <c:v>10</c:v>
                </c:pt>
                <c:pt idx="143">
                  <c:v>10</c:v>
                </c:pt>
                <c:pt idx="144">
                  <c:v>10</c:v>
                </c:pt>
                <c:pt idx="145">
                  <c:v>10</c:v>
                </c:pt>
                <c:pt idx="146">
                  <c:v>10</c:v>
                </c:pt>
                <c:pt idx="147">
                  <c:v>10</c:v>
                </c:pt>
                <c:pt idx="148">
                  <c:v>10</c:v>
                </c:pt>
                <c:pt idx="149">
                  <c:v>10</c:v>
                </c:pt>
                <c:pt idx="150">
                  <c:v>10</c:v>
                </c:pt>
                <c:pt idx="151">
                  <c:v>10</c:v>
                </c:pt>
                <c:pt idx="152">
                  <c:v>10</c:v>
                </c:pt>
                <c:pt idx="153">
                  <c:v>10</c:v>
                </c:pt>
                <c:pt idx="154">
                  <c:v>10</c:v>
                </c:pt>
                <c:pt idx="155">
                  <c:v>10</c:v>
                </c:pt>
                <c:pt idx="156">
                  <c:v>10</c:v>
                </c:pt>
                <c:pt idx="157">
                  <c:v>10</c:v>
                </c:pt>
                <c:pt idx="158">
                  <c:v>10</c:v>
                </c:pt>
                <c:pt idx="159">
                  <c:v>10</c:v>
                </c:pt>
                <c:pt idx="160">
                  <c:v>10</c:v>
                </c:pt>
                <c:pt idx="161">
                  <c:v>10</c:v>
                </c:pt>
                <c:pt idx="162">
                  <c:v>10</c:v>
                </c:pt>
                <c:pt idx="163">
                  <c:v>10</c:v>
                </c:pt>
                <c:pt idx="164">
                  <c:v>10</c:v>
                </c:pt>
                <c:pt idx="165">
                  <c:v>10</c:v>
                </c:pt>
                <c:pt idx="166">
                  <c:v>10</c:v>
                </c:pt>
                <c:pt idx="167">
                  <c:v>10</c:v>
                </c:pt>
                <c:pt idx="168">
                  <c:v>10</c:v>
                </c:pt>
                <c:pt idx="169">
                  <c:v>10</c:v>
                </c:pt>
                <c:pt idx="170">
                  <c:v>10</c:v>
                </c:pt>
                <c:pt idx="171">
                  <c:v>10</c:v>
                </c:pt>
                <c:pt idx="172">
                  <c:v>10</c:v>
                </c:pt>
                <c:pt idx="173">
                  <c:v>10</c:v>
                </c:pt>
                <c:pt idx="174">
                  <c:v>10</c:v>
                </c:pt>
                <c:pt idx="175">
                  <c:v>10</c:v>
                </c:pt>
                <c:pt idx="176">
                  <c:v>10</c:v>
                </c:pt>
                <c:pt idx="177">
                  <c:v>10</c:v>
                </c:pt>
                <c:pt idx="178">
                  <c:v>10</c:v>
                </c:pt>
                <c:pt idx="179">
                  <c:v>10</c:v>
                </c:pt>
                <c:pt idx="180">
                  <c:v>10</c:v>
                </c:pt>
                <c:pt idx="181">
                  <c:v>10</c:v>
                </c:pt>
                <c:pt idx="182">
                  <c:v>10</c:v>
                </c:pt>
                <c:pt idx="183">
                  <c:v>10</c:v>
                </c:pt>
                <c:pt idx="184">
                  <c:v>10</c:v>
                </c:pt>
                <c:pt idx="185">
                  <c:v>10</c:v>
                </c:pt>
                <c:pt idx="186">
                  <c:v>10</c:v>
                </c:pt>
                <c:pt idx="187">
                  <c:v>10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marker val="0"/>
        <c:smooth val="1"/>
        <c:axId val="33816162"/>
        <c:axId val="29118504"/>
      </c:lineChart>
      <c:catAx>
        <c:axId val="3381616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Time (s)</a:t>
                </a:r>
                <a:endParaRPr lang="en-US"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00000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29118504"/>
        <c:crosses val="autoZero"/>
        <c:auto val="1"/>
        <c:lblAlgn val="ctr"/>
        <c:lblOffset val="100"/>
        <c:noMultiLvlLbl val="0"/>
      </c:catAx>
      <c:valAx>
        <c:axId val="29118504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Voltage (V)</a:t>
                </a:r>
                <a:endParaRPr lang="en-US"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338161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1"/>
    <c:extLst>
      <c:ext uri="{0b15fc19-7d7d-44ad-8c2d-2c3a37ce22c3}">
        <chartProps xmlns="https://web.wps.cn/et/2018/main" chartId="{05adf81b-2a2e-479f-82ed-cf4559abce67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403860</xdr:colOff>
      <xdr:row>0</xdr:row>
      <xdr:rowOff>153300</xdr:rowOff>
    </xdr:from>
    <xdr:to>
      <xdr:col>10</xdr:col>
      <xdr:colOff>436980</xdr:colOff>
      <xdr:row>18</xdr:row>
      <xdr:rowOff>293160</xdr:rowOff>
    </xdr:to>
    <xdr:graphicFrame>
      <xdr:nvGraphicFramePr>
        <xdr:cNvPr id="2" name="Chart 1"/>
        <xdr:cNvGraphicFramePr/>
      </xdr:nvGraphicFramePr>
      <xdr:xfrm>
        <a:off x="4996180" y="153035"/>
        <a:ext cx="8068310" cy="34397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2"/>
  <sheetViews>
    <sheetView tabSelected="1" workbookViewId="0">
      <selection activeCell="A23" sqref="A23"/>
    </sheetView>
  </sheetViews>
  <sheetFormatPr defaultColWidth="8.66371681415929" defaultRowHeight="14.25" outlineLevelCol="3"/>
  <cols>
    <col min="1" max="1" width="34" customWidth="1"/>
    <col min="2" max="4" width="30" customWidth="1"/>
  </cols>
  <sheetData>
    <row r="1" ht="17.6" spans="1:2">
      <c r="A1" s="1" t="s">
        <v>0</v>
      </c>
    </row>
    <row r="2" spans="1:2">
      <c r="A2" s="2" t="s">
        <v>1</v>
      </c>
    </row>
    <row r="4" spans="1:2">
      <c r="A4" s="3" t="s">
        <v>2</v>
      </c>
    </row>
    <row r="5" spans="1:2">
      <c r="A5" s="4" t="s">
        <v>3</v>
      </c>
      <c r="B5" s="5">
        <v>50</v>
      </c>
    </row>
    <row r="6" spans="1:2">
      <c r="A6" s="4" t="s">
        <v>4</v>
      </c>
      <c r="B6" s="5">
        <v>0.1</v>
      </c>
    </row>
    <row r="7" spans="1:2">
      <c r="A7" s="4" t="s">
        <v>5</v>
      </c>
      <c r="B7" s="5">
        <v>0.0001</v>
      </c>
    </row>
    <row r="8" spans="1:2">
      <c r="A8" s="4" t="s">
        <v>6</v>
      </c>
      <c r="B8" s="5">
        <v>10</v>
      </c>
    </row>
    <row r="10" spans="1:2">
      <c r="A10" s="3" t="s">
        <v>7</v>
      </c>
    </row>
    <row r="11" spans="1:2">
      <c r="A11" s="4" t="s">
        <v>8</v>
      </c>
      <c r="B11" s="6">
        <f>$B$5/(2*$B$6)</f>
        <v>250</v>
      </c>
    </row>
    <row r="12" spans="1:2">
      <c r="A12" s="4" t="s">
        <v>9</v>
      </c>
      <c r="B12" s="6">
        <f>1/SQRT($B$6*$B$7)</f>
        <v>316.227766016838</v>
      </c>
    </row>
    <row r="13" spans="1:2">
      <c r="A13" s="4" t="s">
        <v>10</v>
      </c>
      <c r="B13" s="6">
        <f>SQRT($B$12^2-$B$11^2)</f>
        <v>193.649167310371</v>
      </c>
    </row>
    <row r="14" spans="1:2">
      <c r="A14" s="4" t="s">
        <v>11</v>
      </c>
      <c r="B14" s="7">
        <f>2*PI()/$B$13</f>
        <v>0.0324462294077889</v>
      </c>
    </row>
    <row r="15" spans="1:2">
      <c r="A15" s="4" t="s">
        <v>12</v>
      </c>
      <c r="B15" s="7">
        <f>2.5*$B$14</f>
        <v>0.0811155735194723</v>
      </c>
    </row>
    <row r="16" spans="1:2">
      <c r="A16" s="4" t="s">
        <v>13</v>
      </c>
      <c r="B16" s="5">
        <v>200</v>
      </c>
    </row>
    <row r="17" spans="1:4">
      <c r="A17" s="4" t="s">
        <v>14</v>
      </c>
      <c r="B17" s="7">
        <f>$B$15/$B$16</f>
        <v>0.000405577867597361</v>
      </c>
    </row>
    <row r="19" ht="45" customHeight="1" spans="1:4">
      <c r="A19" s="8" t="s">
        <v>15</v>
      </c>
      <c r="B19" s="8"/>
      <c r="C19" s="8"/>
      <c r="D19" s="8"/>
    </row>
    <row r="21" ht="30" customHeight="1" spans="1:4">
      <c r="A21" s="9" t="s">
        <v>16</v>
      </c>
      <c r="B21" s="9" t="s">
        <v>17</v>
      </c>
      <c r="C21" s="9" t="s">
        <v>18</v>
      </c>
      <c r="D21" s="9" t="s">
        <v>19</v>
      </c>
    </row>
    <row r="22" spans="1:4">
      <c r="A22" s="7">
        <v>1111</v>
      </c>
      <c r="B22" s="6">
        <f t="shared" ref="B22:B85" si="0">(($B$8/($B$6*$B$13))*EXP(-$B$11*A22)*SIN($B$13*A22))*$B$5</f>
        <v>0</v>
      </c>
      <c r="C22" s="6">
        <f t="shared" ref="C22:C85" si="1">$B$8-B22-D22</f>
        <v>0</v>
      </c>
      <c r="D22" s="6">
        <f t="shared" ref="D22:D85" si="2">$B$8*(1-EXP(-$B$11*A22)*(COS($B$13*A22)+($B$11/$B$13)*SIN($B$13*A22)))</f>
        <v>10</v>
      </c>
    </row>
    <row r="23" spans="1:4">
      <c r="A23" s="7">
        <f t="shared" ref="A23:A54" si="3">A22+$B$17</f>
        <v>1111.00040557787</v>
      </c>
      <c r="B23" s="6">
        <f t="shared" si="0"/>
        <v>0</v>
      </c>
      <c r="C23" s="6">
        <f t="shared" si="1"/>
        <v>0</v>
      </c>
      <c r="D23" s="6">
        <f t="shared" si="2"/>
        <v>10</v>
      </c>
    </row>
    <row r="24" spans="1:4">
      <c r="A24" s="7">
        <f t="shared" si="3"/>
        <v>1111.00081115574</v>
      </c>
      <c r="B24" s="6">
        <f t="shared" si="0"/>
        <v>0</v>
      </c>
      <c r="C24" s="6">
        <f t="shared" si="1"/>
        <v>0</v>
      </c>
      <c r="D24" s="6">
        <f t="shared" si="2"/>
        <v>10</v>
      </c>
    </row>
    <row r="25" spans="1:4">
      <c r="A25" s="7">
        <f t="shared" si="3"/>
        <v>1111.0012167336</v>
      </c>
      <c r="B25" s="6">
        <f t="shared" si="0"/>
        <v>0</v>
      </c>
      <c r="C25" s="6">
        <f t="shared" si="1"/>
        <v>0</v>
      </c>
      <c r="D25" s="6">
        <f t="shared" si="2"/>
        <v>10</v>
      </c>
    </row>
    <row r="26" spans="1:4">
      <c r="A26" s="7">
        <f t="shared" si="3"/>
        <v>1111.00162231147</v>
      </c>
      <c r="B26" s="6">
        <f t="shared" si="0"/>
        <v>0</v>
      </c>
      <c r="C26" s="6">
        <f t="shared" si="1"/>
        <v>0</v>
      </c>
      <c r="D26" s="6">
        <f t="shared" si="2"/>
        <v>10</v>
      </c>
    </row>
    <row r="27" spans="1:4">
      <c r="A27" s="7">
        <f t="shared" si="3"/>
        <v>1111.00202788934</v>
      </c>
      <c r="B27" s="6">
        <f t="shared" si="0"/>
        <v>0</v>
      </c>
      <c r="C27" s="6">
        <f t="shared" si="1"/>
        <v>0</v>
      </c>
      <c r="D27" s="6">
        <f t="shared" si="2"/>
        <v>10</v>
      </c>
    </row>
    <row r="28" spans="1:4">
      <c r="A28" s="7">
        <f t="shared" si="3"/>
        <v>1111.00243346721</v>
      </c>
      <c r="B28" s="6">
        <f t="shared" si="0"/>
        <v>0</v>
      </c>
      <c r="C28" s="6">
        <f t="shared" si="1"/>
        <v>0</v>
      </c>
      <c r="D28" s="6">
        <f t="shared" si="2"/>
        <v>10</v>
      </c>
    </row>
    <row r="29" spans="1:4">
      <c r="A29" s="7">
        <f t="shared" si="3"/>
        <v>1111.00283904507</v>
      </c>
      <c r="B29" s="6">
        <f t="shared" si="0"/>
        <v>0</v>
      </c>
      <c r="C29" s="6">
        <f t="shared" si="1"/>
        <v>0</v>
      </c>
      <c r="D29" s="6">
        <f t="shared" si="2"/>
        <v>10</v>
      </c>
    </row>
    <row r="30" spans="1:4">
      <c r="A30" s="7">
        <f t="shared" si="3"/>
        <v>1111.00324462294</v>
      </c>
      <c r="B30" s="6">
        <f t="shared" si="0"/>
        <v>0</v>
      </c>
      <c r="C30" s="6">
        <f t="shared" si="1"/>
        <v>0</v>
      </c>
      <c r="D30" s="6">
        <f t="shared" si="2"/>
        <v>10</v>
      </c>
    </row>
    <row r="31" spans="1:4">
      <c r="A31" s="7">
        <f t="shared" si="3"/>
        <v>1111.00365020081</v>
      </c>
      <c r="B31" s="6">
        <f t="shared" si="0"/>
        <v>0</v>
      </c>
      <c r="C31" s="6">
        <f t="shared" si="1"/>
        <v>0</v>
      </c>
      <c r="D31" s="6">
        <f t="shared" si="2"/>
        <v>10</v>
      </c>
    </row>
    <row r="32" spans="1:4">
      <c r="A32" s="7">
        <f t="shared" si="3"/>
        <v>1111.00405577868</v>
      </c>
      <c r="B32" s="6">
        <f t="shared" si="0"/>
        <v>0</v>
      </c>
      <c r="C32" s="6">
        <f t="shared" si="1"/>
        <v>0</v>
      </c>
      <c r="D32" s="6">
        <f t="shared" si="2"/>
        <v>10</v>
      </c>
    </row>
    <row r="33" spans="1:4">
      <c r="A33" s="7">
        <f t="shared" si="3"/>
        <v>1111.00446135654</v>
      </c>
      <c r="B33" s="6">
        <f t="shared" si="0"/>
        <v>0</v>
      </c>
      <c r="C33" s="6">
        <f t="shared" si="1"/>
        <v>0</v>
      </c>
      <c r="D33" s="6">
        <f t="shared" si="2"/>
        <v>10</v>
      </c>
    </row>
    <row r="34" spans="1:4">
      <c r="A34" s="7">
        <f t="shared" si="3"/>
        <v>1111.00486693441</v>
      </c>
      <c r="B34" s="6">
        <f t="shared" si="0"/>
        <v>0</v>
      </c>
      <c r="C34" s="6">
        <f t="shared" si="1"/>
        <v>0</v>
      </c>
      <c r="D34" s="6">
        <f t="shared" si="2"/>
        <v>10</v>
      </c>
    </row>
    <row r="35" spans="1:4">
      <c r="A35" s="7">
        <f t="shared" si="3"/>
        <v>1111.00527251228</v>
      </c>
      <c r="B35" s="6">
        <f t="shared" si="0"/>
        <v>0</v>
      </c>
      <c r="C35" s="6">
        <f t="shared" si="1"/>
        <v>0</v>
      </c>
      <c r="D35" s="6">
        <f t="shared" si="2"/>
        <v>10</v>
      </c>
    </row>
    <row r="36" spans="1:4">
      <c r="A36" s="7">
        <f t="shared" si="3"/>
        <v>1111.00567809015</v>
      </c>
      <c r="B36" s="6">
        <f t="shared" si="0"/>
        <v>0</v>
      </c>
      <c r="C36" s="6">
        <f t="shared" si="1"/>
        <v>0</v>
      </c>
      <c r="D36" s="6">
        <f t="shared" si="2"/>
        <v>10</v>
      </c>
    </row>
    <row r="37" spans="1:4">
      <c r="A37" s="7">
        <f t="shared" si="3"/>
        <v>1111.00608366802</v>
      </c>
      <c r="B37" s="6">
        <f t="shared" si="0"/>
        <v>0</v>
      </c>
      <c r="C37" s="6">
        <f t="shared" si="1"/>
        <v>0</v>
      </c>
      <c r="D37" s="6">
        <f t="shared" si="2"/>
        <v>10</v>
      </c>
    </row>
    <row r="38" spans="1:4">
      <c r="A38" s="7">
        <f t="shared" si="3"/>
        <v>1111.00648924588</v>
      </c>
      <c r="B38" s="6">
        <f t="shared" si="0"/>
        <v>0</v>
      </c>
      <c r="C38" s="6">
        <f t="shared" si="1"/>
        <v>0</v>
      </c>
      <c r="D38" s="6">
        <f t="shared" si="2"/>
        <v>10</v>
      </c>
    </row>
    <row r="39" spans="1:4">
      <c r="A39" s="7">
        <f t="shared" si="3"/>
        <v>1111.00689482375</v>
      </c>
      <c r="B39" s="6">
        <f t="shared" si="0"/>
        <v>0</v>
      </c>
      <c r="C39" s="6">
        <f t="shared" si="1"/>
        <v>0</v>
      </c>
      <c r="D39" s="6">
        <f t="shared" si="2"/>
        <v>10</v>
      </c>
    </row>
    <row r="40" spans="1:4">
      <c r="A40" s="7">
        <f t="shared" si="3"/>
        <v>1111.00730040162</v>
      </c>
      <c r="B40" s="6">
        <f t="shared" si="0"/>
        <v>0</v>
      </c>
      <c r="C40" s="6">
        <f t="shared" si="1"/>
        <v>0</v>
      </c>
      <c r="D40" s="6">
        <f t="shared" si="2"/>
        <v>10</v>
      </c>
    </row>
    <row r="41" spans="1:4">
      <c r="A41" s="7">
        <f t="shared" si="3"/>
        <v>1111.00770597949</v>
      </c>
      <c r="B41" s="6">
        <f t="shared" si="0"/>
        <v>0</v>
      </c>
      <c r="C41" s="6">
        <f t="shared" si="1"/>
        <v>0</v>
      </c>
      <c r="D41" s="6">
        <f t="shared" si="2"/>
        <v>10</v>
      </c>
    </row>
    <row r="42" spans="1:4">
      <c r="A42" s="7">
        <f t="shared" si="3"/>
        <v>1111.00811155735</v>
      </c>
      <c r="B42" s="6">
        <f t="shared" si="0"/>
        <v>0</v>
      </c>
      <c r="C42" s="6">
        <f t="shared" si="1"/>
        <v>0</v>
      </c>
      <c r="D42" s="6">
        <f t="shared" si="2"/>
        <v>10</v>
      </c>
    </row>
    <row r="43" spans="1:4">
      <c r="A43" s="7">
        <f t="shared" si="3"/>
        <v>1111.00851713522</v>
      </c>
      <c r="B43" s="6">
        <f t="shared" si="0"/>
        <v>0</v>
      </c>
      <c r="C43" s="6">
        <f t="shared" si="1"/>
        <v>0</v>
      </c>
      <c r="D43" s="6">
        <f t="shared" si="2"/>
        <v>10</v>
      </c>
    </row>
    <row r="44" spans="1:4">
      <c r="A44" s="7">
        <f t="shared" si="3"/>
        <v>1111.00892271309</v>
      </c>
      <c r="B44" s="6">
        <f t="shared" si="0"/>
        <v>0</v>
      </c>
      <c r="C44" s="6">
        <f t="shared" si="1"/>
        <v>0</v>
      </c>
      <c r="D44" s="6">
        <f t="shared" si="2"/>
        <v>10</v>
      </c>
    </row>
    <row r="45" spans="1:4">
      <c r="A45" s="7">
        <f t="shared" si="3"/>
        <v>1111.00932829096</v>
      </c>
      <c r="B45" s="6">
        <f t="shared" si="0"/>
        <v>0</v>
      </c>
      <c r="C45" s="6">
        <f t="shared" si="1"/>
        <v>0</v>
      </c>
      <c r="D45" s="6">
        <f t="shared" si="2"/>
        <v>10</v>
      </c>
    </row>
    <row r="46" spans="1:4">
      <c r="A46" s="7">
        <f t="shared" si="3"/>
        <v>1111.00973386882</v>
      </c>
      <c r="B46" s="6">
        <f t="shared" si="0"/>
        <v>0</v>
      </c>
      <c r="C46" s="6">
        <f t="shared" si="1"/>
        <v>0</v>
      </c>
      <c r="D46" s="6">
        <f t="shared" si="2"/>
        <v>10</v>
      </c>
    </row>
    <row r="47" spans="1:4">
      <c r="A47" s="7">
        <f t="shared" si="3"/>
        <v>1111.01013944669</v>
      </c>
      <c r="B47" s="6">
        <f t="shared" si="0"/>
        <v>0</v>
      </c>
      <c r="C47" s="6">
        <f t="shared" si="1"/>
        <v>0</v>
      </c>
      <c r="D47" s="6">
        <f t="shared" si="2"/>
        <v>10</v>
      </c>
    </row>
    <row r="48" spans="1:4">
      <c r="A48" s="7">
        <f t="shared" si="3"/>
        <v>1111.01054502456</v>
      </c>
      <c r="B48" s="6">
        <f t="shared" si="0"/>
        <v>0</v>
      </c>
      <c r="C48" s="6">
        <f t="shared" si="1"/>
        <v>0</v>
      </c>
      <c r="D48" s="6">
        <f t="shared" si="2"/>
        <v>10</v>
      </c>
    </row>
    <row r="49" spans="1:4">
      <c r="A49" s="7">
        <f t="shared" si="3"/>
        <v>1111.01095060243</v>
      </c>
      <c r="B49" s="6">
        <f t="shared" si="0"/>
        <v>0</v>
      </c>
      <c r="C49" s="6">
        <f t="shared" si="1"/>
        <v>0</v>
      </c>
      <c r="D49" s="6">
        <f t="shared" si="2"/>
        <v>10</v>
      </c>
    </row>
    <row r="50" spans="1:4">
      <c r="A50" s="7">
        <f t="shared" si="3"/>
        <v>1111.0113561803</v>
      </c>
      <c r="B50" s="6">
        <f t="shared" si="0"/>
        <v>0</v>
      </c>
      <c r="C50" s="6">
        <f t="shared" si="1"/>
        <v>0</v>
      </c>
      <c r="D50" s="6">
        <f t="shared" si="2"/>
        <v>10</v>
      </c>
    </row>
    <row r="51" spans="1:4">
      <c r="A51" s="7">
        <f t="shared" si="3"/>
        <v>1111.01176175816</v>
      </c>
      <c r="B51" s="6">
        <f t="shared" si="0"/>
        <v>0</v>
      </c>
      <c r="C51" s="6">
        <f t="shared" si="1"/>
        <v>0</v>
      </c>
      <c r="D51" s="6">
        <f t="shared" si="2"/>
        <v>10</v>
      </c>
    </row>
    <row r="52" spans="1:4">
      <c r="A52" s="7">
        <f t="shared" si="3"/>
        <v>1111.01216733603</v>
      </c>
      <c r="B52" s="6">
        <f t="shared" si="0"/>
        <v>0</v>
      </c>
      <c r="C52" s="6">
        <f t="shared" si="1"/>
        <v>0</v>
      </c>
      <c r="D52" s="6">
        <f t="shared" si="2"/>
        <v>10</v>
      </c>
    </row>
    <row r="53" spans="1:4">
      <c r="A53" s="7">
        <f t="shared" si="3"/>
        <v>1111.0125729139</v>
      </c>
      <c r="B53" s="6">
        <f t="shared" si="0"/>
        <v>0</v>
      </c>
      <c r="C53" s="6">
        <f t="shared" si="1"/>
        <v>0</v>
      </c>
      <c r="D53" s="6">
        <f t="shared" si="2"/>
        <v>10</v>
      </c>
    </row>
    <row r="54" spans="1:4">
      <c r="A54" s="7">
        <f t="shared" si="3"/>
        <v>1111.01297849177</v>
      </c>
      <c r="B54" s="6">
        <f t="shared" si="0"/>
        <v>0</v>
      </c>
      <c r="C54" s="6">
        <f t="shared" si="1"/>
        <v>0</v>
      </c>
      <c r="D54" s="6">
        <f t="shared" si="2"/>
        <v>10</v>
      </c>
    </row>
    <row r="55" spans="1:4">
      <c r="A55" s="7">
        <f t="shared" ref="A55:A86" si="4">A54+$B$17</f>
        <v>1111.01338406963</v>
      </c>
      <c r="B55" s="6">
        <f t="shared" si="0"/>
        <v>0</v>
      </c>
      <c r="C55" s="6">
        <f t="shared" si="1"/>
        <v>0</v>
      </c>
      <c r="D55" s="6">
        <f t="shared" si="2"/>
        <v>10</v>
      </c>
    </row>
    <row r="56" spans="1:4">
      <c r="A56" s="7">
        <f t="shared" si="4"/>
        <v>1111.0137896475</v>
      </c>
      <c r="B56" s="6">
        <f t="shared" si="0"/>
        <v>0</v>
      </c>
      <c r="C56" s="6">
        <f t="shared" si="1"/>
        <v>0</v>
      </c>
      <c r="D56" s="6">
        <f t="shared" si="2"/>
        <v>10</v>
      </c>
    </row>
    <row r="57" spans="1:4">
      <c r="A57" s="7">
        <f t="shared" si="4"/>
        <v>1111.01419522537</v>
      </c>
      <c r="B57" s="6">
        <f t="shared" si="0"/>
        <v>0</v>
      </c>
      <c r="C57" s="6">
        <f t="shared" si="1"/>
        <v>0</v>
      </c>
      <c r="D57" s="6">
        <f t="shared" si="2"/>
        <v>10</v>
      </c>
    </row>
    <row r="58" spans="1:4">
      <c r="A58" s="7">
        <f t="shared" si="4"/>
        <v>1111.01460080324</v>
      </c>
      <c r="B58" s="6">
        <f t="shared" si="0"/>
        <v>0</v>
      </c>
      <c r="C58" s="6">
        <f t="shared" si="1"/>
        <v>0</v>
      </c>
      <c r="D58" s="6">
        <f t="shared" si="2"/>
        <v>10</v>
      </c>
    </row>
    <row r="59" spans="1:4">
      <c r="A59" s="7">
        <f t="shared" si="4"/>
        <v>1111.0150063811</v>
      </c>
      <c r="B59" s="6">
        <f t="shared" si="0"/>
        <v>0</v>
      </c>
      <c r="C59" s="6">
        <f t="shared" si="1"/>
        <v>0</v>
      </c>
      <c r="D59" s="6">
        <f t="shared" si="2"/>
        <v>10</v>
      </c>
    </row>
    <row r="60" spans="1:4">
      <c r="A60" s="7">
        <f t="shared" si="4"/>
        <v>1111.01541195897</v>
      </c>
      <c r="B60" s="6">
        <f t="shared" si="0"/>
        <v>0</v>
      </c>
      <c r="C60" s="6">
        <f t="shared" si="1"/>
        <v>0</v>
      </c>
      <c r="D60" s="6">
        <f t="shared" si="2"/>
        <v>10</v>
      </c>
    </row>
    <row r="61" spans="1:4">
      <c r="A61" s="7">
        <f t="shared" si="4"/>
        <v>1111.01581753684</v>
      </c>
      <c r="B61" s="6">
        <f t="shared" si="0"/>
        <v>0</v>
      </c>
      <c r="C61" s="6">
        <f t="shared" si="1"/>
        <v>0</v>
      </c>
      <c r="D61" s="6">
        <f t="shared" si="2"/>
        <v>10</v>
      </c>
    </row>
    <row r="62" spans="1:4">
      <c r="A62" s="7">
        <f t="shared" si="4"/>
        <v>1111.01622311471</v>
      </c>
      <c r="B62" s="6">
        <f t="shared" si="0"/>
        <v>0</v>
      </c>
      <c r="C62" s="6">
        <f t="shared" si="1"/>
        <v>0</v>
      </c>
      <c r="D62" s="6">
        <f t="shared" si="2"/>
        <v>10</v>
      </c>
    </row>
    <row r="63" spans="1:4">
      <c r="A63" s="7">
        <f t="shared" si="4"/>
        <v>1111.01662869258</v>
      </c>
      <c r="B63" s="6">
        <f t="shared" si="0"/>
        <v>0</v>
      </c>
      <c r="C63" s="6">
        <f t="shared" si="1"/>
        <v>0</v>
      </c>
      <c r="D63" s="6">
        <f t="shared" si="2"/>
        <v>10</v>
      </c>
    </row>
    <row r="64" spans="1:4">
      <c r="A64" s="7">
        <f t="shared" si="4"/>
        <v>1111.01703427044</v>
      </c>
      <c r="B64" s="6">
        <f t="shared" si="0"/>
        <v>0</v>
      </c>
      <c r="C64" s="6">
        <f t="shared" si="1"/>
        <v>0</v>
      </c>
      <c r="D64" s="6">
        <f t="shared" si="2"/>
        <v>10</v>
      </c>
    </row>
    <row r="65" spans="1:4">
      <c r="A65" s="7">
        <f t="shared" si="4"/>
        <v>1111.01743984831</v>
      </c>
      <c r="B65" s="6">
        <f t="shared" si="0"/>
        <v>0</v>
      </c>
      <c r="C65" s="6">
        <f t="shared" si="1"/>
        <v>0</v>
      </c>
      <c r="D65" s="6">
        <f t="shared" si="2"/>
        <v>10</v>
      </c>
    </row>
    <row r="66" spans="1:4">
      <c r="A66" s="7">
        <f t="shared" si="4"/>
        <v>1111.01784542618</v>
      </c>
      <c r="B66" s="6">
        <f t="shared" si="0"/>
        <v>0</v>
      </c>
      <c r="C66" s="6">
        <f t="shared" si="1"/>
        <v>0</v>
      </c>
      <c r="D66" s="6">
        <f t="shared" si="2"/>
        <v>10</v>
      </c>
    </row>
    <row r="67" spans="1:4">
      <c r="A67" s="7">
        <f t="shared" si="4"/>
        <v>1111.01825100405</v>
      </c>
      <c r="B67" s="6">
        <f t="shared" si="0"/>
        <v>0</v>
      </c>
      <c r="C67" s="6">
        <f t="shared" si="1"/>
        <v>0</v>
      </c>
      <c r="D67" s="6">
        <f t="shared" si="2"/>
        <v>10</v>
      </c>
    </row>
    <row r="68" spans="1:4">
      <c r="A68" s="7">
        <f t="shared" si="4"/>
        <v>1111.01865658191</v>
      </c>
      <c r="B68" s="6">
        <f t="shared" si="0"/>
        <v>0</v>
      </c>
      <c r="C68" s="6">
        <f t="shared" si="1"/>
        <v>0</v>
      </c>
      <c r="D68" s="6">
        <f t="shared" si="2"/>
        <v>10</v>
      </c>
    </row>
    <row r="69" spans="1:4">
      <c r="A69" s="7">
        <f t="shared" si="4"/>
        <v>1111.01906215978</v>
      </c>
      <c r="B69" s="6">
        <f t="shared" si="0"/>
        <v>0</v>
      </c>
      <c r="C69" s="6">
        <f t="shared" si="1"/>
        <v>0</v>
      </c>
      <c r="D69" s="6">
        <f t="shared" si="2"/>
        <v>10</v>
      </c>
    </row>
    <row r="70" spans="1:4">
      <c r="A70" s="7">
        <f t="shared" si="4"/>
        <v>1111.01946773765</v>
      </c>
      <c r="B70" s="6">
        <f t="shared" si="0"/>
        <v>0</v>
      </c>
      <c r="C70" s="6">
        <f t="shared" si="1"/>
        <v>0</v>
      </c>
      <c r="D70" s="6">
        <f t="shared" si="2"/>
        <v>10</v>
      </c>
    </row>
    <row r="71" spans="1:4">
      <c r="A71" s="7">
        <f t="shared" si="4"/>
        <v>1111.01987331552</v>
      </c>
      <c r="B71" s="6">
        <f t="shared" si="0"/>
        <v>0</v>
      </c>
      <c r="C71" s="6">
        <f t="shared" si="1"/>
        <v>0</v>
      </c>
      <c r="D71" s="6">
        <f t="shared" si="2"/>
        <v>10</v>
      </c>
    </row>
    <row r="72" spans="1:4">
      <c r="A72" s="7">
        <f t="shared" si="4"/>
        <v>1111.02027889338</v>
      </c>
      <c r="B72" s="6">
        <f t="shared" si="0"/>
        <v>0</v>
      </c>
      <c r="C72" s="6">
        <f t="shared" si="1"/>
        <v>0</v>
      </c>
      <c r="D72" s="6">
        <f t="shared" si="2"/>
        <v>10</v>
      </c>
    </row>
    <row r="73" spans="1:4">
      <c r="A73" s="7">
        <f t="shared" si="4"/>
        <v>1111.02068447125</v>
      </c>
      <c r="B73" s="6">
        <f t="shared" si="0"/>
        <v>0</v>
      </c>
      <c r="C73" s="6">
        <f t="shared" si="1"/>
        <v>0</v>
      </c>
      <c r="D73" s="6">
        <f t="shared" si="2"/>
        <v>10</v>
      </c>
    </row>
    <row r="74" spans="1:4">
      <c r="A74" s="7">
        <f t="shared" si="4"/>
        <v>1111.02109004912</v>
      </c>
      <c r="B74" s="6">
        <f t="shared" si="0"/>
        <v>0</v>
      </c>
      <c r="C74" s="6">
        <f t="shared" si="1"/>
        <v>0</v>
      </c>
      <c r="D74" s="6">
        <f t="shared" si="2"/>
        <v>10</v>
      </c>
    </row>
    <row r="75" spans="1:4">
      <c r="A75" s="7">
        <f t="shared" si="4"/>
        <v>1111.02149562699</v>
      </c>
      <c r="B75" s="6">
        <f t="shared" si="0"/>
        <v>0</v>
      </c>
      <c r="C75" s="6">
        <f t="shared" si="1"/>
        <v>0</v>
      </c>
      <c r="D75" s="6">
        <f t="shared" si="2"/>
        <v>10</v>
      </c>
    </row>
    <row r="76" spans="1:4">
      <c r="A76" s="7">
        <f t="shared" si="4"/>
        <v>1111.02190120486</v>
      </c>
      <c r="B76" s="6">
        <f t="shared" si="0"/>
        <v>0</v>
      </c>
      <c r="C76" s="6">
        <f t="shared" si="1"/>
        <v>0</v>
      </c>
      <c r="D76" s="6">
        <f t="shared" si="2"/>
        <v>10</v>
      </c>
    </row>
    <row r="77" spans="1:4">
      <c r="A77" s="7">
        <f t="shared" si="4"/>
        <v>1111.02230678272</v>
      </c>
      <c r="B77" s="6">
        <f t="shared" si="0"/>
        <v>0</v>
      </c>
      <c r="C77" s="6">
        <f t="shared" si="1"/>
        <v>0</v>
      </c>
      <c r="D77" s="6">
        <f t="shared" si="2"/>
        <v>10</v>
      </c>
    </row>
    <row r="78" spans="1:4">
      <c r="A78" s="7">
        <f t="shared" si="4"/>
        <v>1111.02271236059</v>
      </c>
      <c r="B78" s="6">
        <f t="shared" si="0"/>
        <v>0</v>
      </c>
      <c r="C78" s="6">
        <f t="shared" si="1"/>
        <v>0</v>
      </c>
      <c r="D78" s="6">
        <f t="shared" si="2"/>
        <v>10</v>
      </c>
    </row>
    <row r="79" spans="1:4">
      <c r="A79" s="7">
        <f t="shared" si="4"/>
        <v>1111.02311793846</v>
      </c>
      <c r="B79" s="6">
        <f t="shared" si="0"/>
        <v>0</v>
      </c>
      <c r="C79" s="6">
        <f t="shared" si="1"/>
        <v>0</v>
      </c>
      <c r="D79" s="6">
        <f t="shared" si="2"/>
        <v>10</v>
      </c>
    </row>
    <row r="80" spans="1:4">
      <c r="A80" s="7">
        <f t="shared" si="4"/>
        <v>1111.02352351633</v>
      </c>
      <c r="B80" s="6">
        <f t="shared" si="0"/>
        <v>0</v>
      </c>
      <c r="C80" s="6">
        <f t="shared" si="1"/>
        <v>0</v>
      </c>
      <c r="D80" s="6">
        <f t="shared" si="2"/>
        <v>10</v>
      </c>
    </row>
    <row r="81" spans="1:4">
      <c r="A81" s="7">
        <f t="shared" si="4"/>
        <v>1111.02392909419</v>
      </c>
      <c r="B81" s="6">
        <f t="shared" si="0"/>
        <v>0</v>
      </c>
      <c r="C81" s="6">
        <f t="shared" si="1"/>
        <v>0</v>
      </c>
      <c r="D81" s="6">
        <f t="shared" si="2"/>
        <v>10</v>
      </c>
    </row>
    <row r="82" spans="1:4">
      <c r="A82" s="7">
        <f t="shared" si="4"/>
        <v>1111.02433467206</v>
      </c>
      <c r="B82" s="6">
        <f t="shared" si="0"/>
        <v>0</v>
      </c>
      <c r="C82" s="6">
        <f t="shared" si="1"/>
        <v>0</v>
      </c>
      <c r="D82" s="6">
        <f t="shared" si="2"/>
        <v>10</v>
      </c>
    </row>
    <row r="83" spans="1:4">
      <c r="A83" s="7">
        <f t="shared" si="4"/>
        <v>1111.02474024993</v>
      </c>
      <c r="B83" s="6">
        <f t="shared" si="0"/>
        <v>0</v>
      </c>
      <c r="C83" s="6">
        <f t="shared" si="1"/>
        <v>0</v>
      </c>
      <c r="D83" s="6">
        <f t="shared" si="2"/>
        <v>10</v>
      </c>
    </row>
    <row r="84" spans="1:4">
      <c r="A84" s="7">
        <f t="shared" si="4"/>
        <v>1111.0251458278</v>
      </c>
      <c r="B84" s="6">
        <f t="shared" si="0"/>
        <v>0</v>
      </c>
      <c r="C84" s="6">
        <f t="shared" si="1"/>
        <v>0</v>
      </c>
      <c r="D84" s="6">
        <f t="shared" si="2"/>
        <v>10</v>
      </c>
    </row>
    <row r="85" spans="1:4">
      <c r="A85" s="7">
        <f t="shared" si="4"/>
        <v>1111.02555140566</v>
      </c>
      <c r="B85" s="6">
        <f t="shared" si="0"/>
        <v>0</v>
      </c>
      <c r="C85" s="6">
        <f t="shared" si="1"/>
        <v>0</v>
      </c>
      <c r="D85" s="6">
        <f t="shared" si="2"/>
        <v>10</v>
      </c>
    </row>
    <row r="86" spans="1:4">
      <c r="A86" s="7">
        <f t="shared" si="4"/>
        <v>1111.02595698353</v>
      </c>
      <c r="B86" s="6">
        <f t="shared" ref="B86:B149" si="5">(($B$8/($B$6*$B$13))*EXP(-$B$11*A86)*SIN($B$13*A86))*$B$5</f>
        <v>0</v>
      </c>
      <c r="C86" s="6">
        <f t="shared" ref="C86:C149" si="6">$B$8-B86-D86</f>
        <v>0</v>
      </c>
      <c r="D86" s="6">
        <f t="shared" ref="D86:D149" si="7">$B$8*(1-EXP(-$B$11*A86)*(COS($B$13*A86)+($B$11/$B$13)*SIN($B$13*A86)))</f>
        <v>10</v>
      </c>
    </row>
    <row r="87" spans="1:4">
      <c r="A87" s="7">
        <f t="shared" ref="A87:A118" si="8">A86+$B$17</f>
        <v>1111.0263625614</v>
      </c>
      <c r="B87" s="6">
        <f t="shared" si="5"/>
        <v>0</v>
      </c>
      <c r="C87" s="6">
        <f t="shared" si="6"/>
        <v>0</v>
      </c>
      <c r="D87" s="6">
        <f t="shared" si="7"/>
        <v>10</v>
      </c>
    </row>
    <row r="88" spans="1:4">
      <c r="A88" s="7">
        <f t="shared" si="8"/>
        <v>1111.02676813927</v>
      </c>
      <c r="B88" s="6">
        <f t="shared" si="5"/>
        <v>0</v>
      </c>
      <c r="C88" s="6">
        <f t="shared" si="6"/>
        <v>0</v>
      </c>
      <c r="D88" s="6">
        <f t="shared" si="7"/>
        <v>10</v>
      </c>
    </row>
    <row r="89" spans="1:4">
      <c r="A89" s="7">
        <f t="shared" si="8"/>
        <v>1111.02717371714</v>
      </c>
      <c r="B89" s="6">
        <f t="shared" si="5"/>
        <v>0</v>
      </c>
      <c r="C89" s="6">
        <f t="shared" si="6"/>
        <v>0</v>
      </c>
      <c r="D89" s="6">
        <f t="shared" si="7"/>
        <v>10</v>
      </c>
    </row>
    <row r="90" spans="1:4">
      <c r="A90" s="7">
        <f t="shared" si="8"/>
        <v>1111.027579295</v>
      </c>
      <c r="B90" s="6">
        <f t="shared" si="5"/>
        <v>0</v>
      </c>
      <c r="C90" s="6">
        <f t="shared" si="6"/>
        <v>0</v>
      </c>
      <c r="D90" s="6">
        <f t="shared" si="7"/>
        <v>10</v>
      </c>
    </row>
    <row r="91" spans="1:4">
      <c r="A91" s="7">
        <f t="shared" si="8"/>
        <v>1111.02798487287</v>
      </c>
      <c r="B91" s="6">
        <f t="shared" si="5"/>
        <v>0</v>
      </c>
      <c r="C91" s="6">
        <f t="shared" si="6"/>
        <v>0</v>
      </c>
      <c r="D91" s="6">
        <f t="shared" si="7"/>
        <v>10</v>
      </c>
    </row>
    <row r="92" spans="1:4">
      <c r="A92" s="7">
        <f t="shared" si="8"/>
        <v>1111.02839045074</v>
      </c>
      <c r="B92" s="6">
        <f t="shared" si="5"/>
        <v>0</v>
      </c>
      <c r="C92" s="6">
        <f t="shared" si="6"/>
        <v>0</v>
      </c>
      <c r="D92" s="6">
        <f t="shared" si="7"/>
        <v>10</v>
      </c>
    </row>
    <row r="93" spans="1:4">
      <c r="A93" s="7">
        <f t="shared" si="8"/>
        <v>1111.02879602861</v>
      </c>
      <c r="B93" s="6">
        <f t="shared" si="5"/>
        <v>0</v>
      </c>
      <c r="C93" s="6">
        <f t="shared" si="6"/>
        <v>0</v>
      </c>
      <c r="D93" s="6">
        <f t="shared" si="7"/>
        <v>10</v>
      </c>
    </row>
    <row r="94" spans="1:4">
      <c r="A94" s="7">
        <f t="shared" si="8"/>
        <v>1111.02920160647</v>
      </c>
      <c r="B94" s="6">
        <f t="shared" si="5"/>
        <v>0</v>
      </c>
      <c r="C94" s="6">
        <f t="shared" si="6"/>
        <v>0</v>
      </c>
      <c r="D94" s="6">
        <f t="shared" si="7"/>
        <v>10</v>
      </c>
    </row>
    <row r="95" spans="1:4">
      <c r="A95" s="7">
        <f t="shared" si="8"/>
        <v>1111.02960718434</v>
      </c>
      <c r="B95" s="6">
        <f t="shared" si="5"/>
        <v>0</v>
      </c>
      <c r="C95" s="6">
        <f t="shared" si="6"/>
        <v>0</v>
      </c>
      <c r="D95" s="6">
        <f t="shared" si="7"/>
        <v>10</v>
      </c>
    </row>
    <row r="96" spans="1:4">
      <c r="A96" s="7">
        <f t="shared" si="8"/>
        <v>1111.03001276221</v>
      </c>
      <c r="B96" s="6">
        <f t="shared" si="5"/>
        <v>0</v>
      </c>
      <c r="C96" s="6">
        <f t="shared" si="6"/>
        <v>0</v>
      </c>
      <c r="D96" s="6">
        <f t="shared" si="7"/>
        <v>10</v>
      </c>
    </row>
    <row r="97" spans="1:4">
      <c r="A97" s="7">
        <f t="shared" si="8"/>
        <v>1111.03041834008</v>
      </c>
      <c r="B97" s="6">
        <f t="shared" si="5"/>
        <v>0</v>
      </c>
      <c r="C97" s="6">
        <f t="shared" si="6"/>
        <v>0</v>
      </c>
      <c r="D97" s="6">
        <f t="shared" si="7"/>
        <v>10</v>
      </c>
    </row>
    <row r="98" spans="1:4">
      <c r="A98" s="7">
        <f t="shared" si="8"/>
        <v>1111.03082391794</v>
      </c>
      <c r="B98" s="6">
        <f t="shared" si="5"/>
        <v>0</v>
      </c>
      <c r="C98" s="6">
        <f t="shared" si="6"/>
        <v>0</v>
      </c>
      <c r="D98" s="6">
        <f t="shared" si="7"/>
        <v>10</v>
      </c>
    </row>
    <row r="99" spans="1:4">
      <c r="A99" s="7">
        <f t="shared" si="8"/>
        <v>1111.03122949581</v>
      </c>
      <c r="B99" s="6">
        <f t="shared" si="5"/>
        <v>0</v>
      </c>
      <c r="C99" s="6">
        <f t="shared" si="6"/>
        <v>0</v>
      </c>
      <c r="D99" s="6">
        <f t="shared" si="7"/>
        <v>10</v>
      </c>
    </row>
    <row r="100" spans="1:4">
      <c r="A100" s="7">
        <f t="shared" si="8"/>
        <v>1111.03163507368</v>
      </c>
      <c r="B100" s="6">
        <f t="shared" si="5"/>
        <v>0</v>
      </c>
      <c r="C100" s="6">
        <f t="shared" si="6"/>
        <v>0</v>
      </c>
      <c r="D100" s="6">
        <f t="shared" si="7"/>
        <v>10</v>
      </c>
    </row>
    <row r="101" spans="1:4">
      <c r="A101" s="7">
        <f t="shared" si="8"/>
        <v>1111.03204065155</v>
      </c>
      <c r="B101" s="6">
        <f t="shared" si="5"/>
        <v>0</v>
      </c>
      <c r="C101" s="6">
        <f t="shared" si="6"/>
        <v>0</v>
      </c>
      <c r="D101" s="6">
        <f t="shared" si="7"/>
        <v>10</v>
      </c>
    </row>
    <row r="102" spans="1:4">
      <c r="A102" s="7">
        <f t="shared" si="8"/>
        <v>1111.03244622942</v>
      </c>
      <c r="B102" s="6">
        <f t="shared" si="5"/>
        <v>0</v>
      </c>
      <c r="C102" s="6">
        <f t="shared" si="6"/>
        <v>0</v>
      </c>
      <c r="D102" s="6">
        <f t="shared" si="7"/>
        <v>10</v>
      </c>
    </row>
    <row r="103" spans="1:4">
      <c r="A103" s="7">
        <f t="shared" si="8"/>
        <v>1111.03285180728</v>
      </c>
      <c r="B103" s="6">
        <f t="shared" si="5"/>
        <v>0</v>
      </c>
      <c r="C103" s="6">
        <f t="shared" si="6"/>
        <v>0</v>
      </c>
      <c r="D103" s="6">
        <f t="shared" si="7"/>
        <v>10</v>
      </c>
    </row>
    <row r="104" spans="1:4">
      <c r="A104" s="7">
        <f t="shared" si="8"/>
        <v>1111.03325738515</v>
      </c>
      <c r="B104" s="6">
        <f t="shared" si="5"/>
        <v>0</v>
      </c>
      <c r="C104" s="6">
        <f t="shared" si="6"/>
        <v>0</v>
      </c>
      <c r="D104" s="6">
        <f t="shared" si="7"/>
        <v>10</v>
      </c>
    </row>
    <row r="105" spans="1:4">
      <c r="A105" s="7">
        <f t="shared" si="8"/>
        <v>1111.03366296302</v>
      </c>
      <c r="B105" s="6">
        <f t="shared" si="5"/>
        <v>0</v>
      </c>
      <c r="C105" s="6">
        <f t="shared" si="6"/>
        <v>0</v>
      </c>
      <c r="D105" s="6">
        <f t="shared" si="7"/>
        <v>10</v>
      </c>
    </row>
    <row r="106" spans="1:4">
      <c r="A106" s="7">
        <f t="shared" si="8"/>
        <v>1111.03406854089</v>
      </c>
      <c r="B106" s="6">
        <f t="shared" si="5"/>
        <v>0</v>
      </c>
      <c r="C106" s="6">
        <f t="shared" si="6"/>
        <v>0</v>
      </c>
      <c r="D106" s="6">
        <f t="shared" si="7"/>
        <v>10</v>
      </c>
    </row>
    <row r="107" spans="1:4">
      <c r="A107" s="7">
        <f t="shared" si="8"/>
        <v>1111.03447411875</v>
      </c>
      <c r="B107" s="6">
        <f t="shared" si="5"/>
        <v>0</v>
      </c>
      <c r="C107" s="6">
        <f t="shared" si="6"/>
        <v>0</v>
      </c>
      <c r="D107" s="6">
        <f t="shared" si="7"/>
        <v>10</v>
      </c>
    </row>
    <row r="108" spans="1:4">
      <c r="A108" s="7">
        <f t="shared" si="8"/>
        <v>1111.03487969662</v>
      </c>
      <c r="B108" s="6">
        <f t="shared" si="5"/>
        <v>0</v>
      </c>
      <c r="C108" s="6">
        <f t="shared" si="6"/>
        <v>0</v>
      </c>
      <c r="D108" s="6">
        <f t="shared" si="7"/>
        <v>10</v>
      </c>
    </row>
    <row r="109" spans="1:4">
      <c r="A109" s="7">
        <f t="shared" si="8"/>
        <v>1111.03528527449</v>
      </c>
      <c r="B109" s="6">
        <f t="shared" si="5"/>
        <v>0</v>
      </c>
      <c r="C109" s="6">
        <f t="shared" si="6"/>
        <v>0</v>
      </c>
      <c r="D109" s="6">
        <f t="shared" si="7"/>
        <v>10</v>
      </c>
    </row>
    <row r="110" spans="1:4">
      <c r="A110" s="7">
        <f t="shared" si="8"/>
        <v>1111.03569085236</v>
      </c>
      <c r="B110" s="6">
        <f t="shared" si="5"/>
        <v>0</v>
      </c>
      <c r="C110" s="6">
        <f t="shared" si="6"/>
        <v>0</v>
      </c>
      <c r="D110" s="6">
        <f t="shared" si="7"/>
        <v>10</v>
      </c>
    </row>
    <row r="111" spans="1:4">
      <c r="A111" s="7">
        <f t="shared" si="8"/>
        <v>1111.03609643022</v>
      </c>
      <c r="B111" s="6">
        <f t="shared" si="5"/>
        <v>0</v>
      </c>
      <c r="C111" s="6">
        <f t="shared" si="6"/>
        <v>0</v>
      </c>
      <c r="D111" s="6">
        <f t="shared" si="7"/>
        <v>10</v>
      </c>
    </row>
    <row r="112" spans="1:4">
      <c r="A112" s="7">
        <f t="shared" si="8"/>
        <v>1111.03650200809</v>
      </c>
      <c r="B112" s="6">
        <f t="shared" si="5"/>
        <v>0</v>
      </c>
      <c r="C112" s="6">
        <f t="shared" si="6"/>
        <v>0</v>
      </c>
      <c r="D112" s="6">
        <f t="shared" si="7"/>
        <v>10</v>
      </c>
    </row>
    <row r="113" spans="1:4">
      <c r="A113" s="7">
        <f t="shared" si="8"/>
        <v>1111.03690758596</v>
      </c>
      <c r="B113" s="6">
        <f t="shared" si="5"/>
        <v>0</v>
      </c>
      <c r="C113" s="6">
        <f t="shared" si="6"/>
        <v>0</v>
      </c>
      <c r="D113" s="6">
        <f t="shared" si="7"/>
        <v>10</v>
      </c>
    </row>
    <row r="114" spans="1:4">
      <c r="A114" s="7">
        <f t="shared" si="8"/>
        <v>1111.03731316383</v>
      </c>
      <c r="B114" s="6">
        <f t="shared" si="5"/>
        <v>0</v>
      </c>
      <c r="C114" s="6">
        <f t="shared" si="6"/>
        <v>0</v>
      </c>
      <c r="D114" s="6">
        <f t="shared" si="7"/>
        <v>10</v>
      </c>
    </row>
    <row r="115" spans="1:4">
      <c r="A115" s="7">
        <f t="shared" si="8"/>
        <v>1111.0377187417</v>
      </c>
      <c r="B115" s="6">
        <f t="shared" si="5"/>
        <v>0</v>
      </c>
      <c r="C115" s="6">
        <f t="shared" si="6"/>
        <v>0</v>
      </c>
      <c r="D115" s="6">
        <f t="shared" si="7"/>
        <v>10</v>
      </c>
    </row>
    <row r="116" spans="1:4">
      <c r="A116" s="7">
        <f t="shared" si="8"/>
        <v>1111.03812431956</v>
      </c>
      <c r="B116" s="6">
        <f t="shared" si="5"/>
        <v>0</v>
      </c>
      <c r="C116" s="6">
        <f t="shared" si="6"/>
        <v>0</v>
      </c>
      <c r="D116" s="6">
        <f t="shared" si="7"/>
        <v>10</v>
      </c>
    </row>
    <row r="117" spans="1:4">
      <c r="A117" s="7">
        <f t="shared" si="8"/>
        <v>1111.03852989743</v>
      </c>
      <c r="B117" s="6">
        <f t="shared" si="5"/>
        <v>0</v>
      </c>
      <c r="C117" s="6">
        <f t="shared" si="6"/>
        <v>0</v>
      </c>
      <c r="D117" s="6">
        <f t="shared" si="7"/>
        <v>10</v>
      </c>
    </row>
    <row r="118" spans="1:4">
      <c r="A118" s="7">
        <f t="shared" si="8"/>
        <v>1111.0389354753</v>
      </c>
      <c r="B118" s="6">
        <f t="shared" si="5"/>
        <v>0</v>
      </c>
      <c r="C118" s="6">
        <f t="shared" si="6"/>
        <v>0</v>
      </c>
      <c r="D118" s="6">
        <f t="shared" si="7"/>
        <v>10</v>
      </c>
    </row>
    <row r="119" spans="1:4">
      <c r="A119" s="7">
        <f t="shared" ref="A119:A150" si="9">A118+$B$17</f>
        <v>1111.03934105317</v>
      </c>
      <c r="B119" s="6">
        <f t="shared" si="5"/>
        <v>0</v>
      </c>
      <c r="C119" s="6">
        <f t="shared" si="6"/>
        <v>0</v>
      </c>
      <c r="D119" s="6">
        <f t="shared" si="7"/>
        <v>10</v>
      </c>
    </row>
    <row r="120" spans="1:4">
      <c r="A120" s="7">
        <f t="shared" si="9"/>
        <v>1111.03974663103</v>
      </c>
      <c r="B120" s="6">
        <f t="shared" si="5"/>
        <v>0</v>
      </c>
      <c r="C120" s="6">
        <f t="shared" si="6"/>
        <v>0</v>
      </c>
      <c r="D120" s="6">
        <f t="shared" si="7"/>
        <v>10</v>
      </c>
    </row>
    <row r="121" spans="1:4">
      <c r="A121" s="7">
        <f t="shared" si="9"/>
        <v>1111.0401522089</v>
      </c>
      <c r="B121" s="6">
        <f t="shared" si="5"/>
        <v>0</v>
      </c>
      <c r="C121" s="6">
        <f t="shared" si="6"/>
        <v>0</v>
      </c>
      <c r="D121" s="6">
        <f t="shared" si="7"/>
        <v>10</v>
      </c>
    </row>
    <row r="122" spans="1:4">
      <c r="A122" s="7">
        <f t="shared" si="9"/>
        <v>1111.04055778677</v>
      </c>
      <c r="B122" s="6">
        <f t="shared" si="5"/>
        <v>0</v>
      </c>
      <c r="C122" s="6">
        <f t="shared" si="6"/>
        <v>0</v>
      </c>
      <c r="D122" s="6">
        <f t="shared" si="7"/>
        <v>10</v>
      </c>
    </row>
    <row r="123" spans="1:4">
      <c r="A123" s="7">
        <f t="shared" si="9"/>
        <v>1111.04096336464</v>
      </c>
      <c r="B123" s="6">
        <f t="shared" si="5"/>
        <v>0</v>
      </c>
      <c r="C123" s="6">
        <f t="shared" si="6"/>
        <v>0</v>
      </c>
      <c r="D123" s="6">
        <f t="shared" si="7"/>
        <v>10</v>
      </c>
    </row>
    <row r="124" spans="1:4">
      <c r="A124" s="7">
        <f t="shared" si="9"/>
        <v>1111.0413689425</v>
      </c>
      <c r="B124" s="6">
        <f t="shared" si="5"/>
        <v>0</v>
      </c>
      <c r="C124" s="6">
        <f t="shared" si="6"/>
        <v>0</v>
      </c>
      <c r="D124" s="6">
        <f t="shared" si="7"/>
        <v>10</v>
      </c>
    </row>
    <row r="125" spans="1:4">
      <c r="A125" s="7">
        <f t="shared" si="9"/>
        <v>1111.04177452037</v>
      </c>
      <c r="B125" s="6">
        <f t="shared" si="5"/>
        <v>0</v>
      </c>
      <c r="C125" s="6">
        <f t="shared" si="6"/>
        <v>0</v>
      </c>
      <c r="D125" s="6">
        <f t="shared" si="7"/>
        <v>10</v>
      </c>
    </row>
    <row r="126" spans="1:4">
      <c r="A126" s="7">
        <f t="shared" si="9"/>
        <v>1111.04218009824</v>
      </c>
      <c r="B126" s="6">
        <f t="shared" si="5"/>
        <v>0</v>
      </c>
      <c r="C126" s="6">
        <f t="shared" si="6"/>
        <v>0</v>
      </c>
      <c r="D126" s="6">
        <f t="shared" si="7"/>
        <v>10</v>
      </c>
    </row>
    <row r="127" spans="1:4">
      <c r="A127" s="7">
        <f t="shared" si="9"/>
        <v>1111.04258567611</v>
      </c>
      <c r="B127" s="6">
        <f t="shared" si="5"/>
        <v>0</v>
      </c>
      <c r="C127" s="6">
        <f t="shared" si="6"/>
        <v>0</v>
      </c>
      <c r="D127" s="6">
        <f t="shared" si="7"/>
        <v>10</v>
      </c>
    </row>
    <row r="128" spans="1:4">
      <c r="A128" s="7">
        <f t="shared" si="9"/>
        <v>1111.04299125398</v>
      </c>
      <c r="B128" s="6">
        <f t="shared" si="5"/>
        <v>0</v>
      </c>
      <c r="C128" s="6">
        <f t="shared" si="6"/>
        <v>0</v>
      </c>
      <c r="D128" s="6">
        <f t="shared" si="7"/>
        <v>10</v>
      </c>
    </row>
    <row r="129" spans="1:4">
      <c r="A129" s="7">
        <f t="shared" si="9"/>
        <v>1111.04339683184</v>
      </c>
      <c r="B129" s="6">
        <f t="shared" si="5"/>
        <v>0</v>
      </c>
      <c r="C129" s="6">
        <f t="shared" si="6"/>
        <v>0</v>
      </c>
      <c r="D129" s="6">
        <f t="shared" si="7"/>
        <v>10</v>
      </c>
    </row>
    <row r="130" spans="1:4">
      <c r="A130" s="7">
        <f t="shared" si="9"/>
        <v>1111.04380240971</v>
      </c>
      <c r="B130" s="6">
        <f t="shared" si="5"/>
        <v>0</v>
      </c>
      <c r="C130" s="6">
        <f t="shared" si="6"/>
        <v>0</v>
      </c>
      <c r="D130" s="6">
        <f t="shared" si="7"/>
        <v>10</v>
      </c>
    </row>
    <row r="131" spans="1:4">
      <c r="A131" s="7">
        <f t="shared" si="9"/>
        <v>1111.04420798758</v>
      </c>
      <c r="B131" s="6">
        <f t="shared" si="5"/>
        <v>0</v>
      </c>
      <c r="C131" s="6">
        <f t="shared" si="6"/>
        <v>0</v>
      </c>
      <c r="D131" s="6">
        <f t="shared" si="7"/>
        <v>10</v>
      </c>
    </row>
    <row r="132" spans="1:4">
      <c r="A132" s="7">
        <f t="shared" si="9"/>
        <v>1111.04461356545</v>
      </c>
      <c r="B132" s="6">
        <f t="shared" si="5"/>
        <v>0</v>
      </c>
      <c r="C132" s="6">
        <f t="shared" si="6"/>
        <v>0</v>
      </c>
      <c r="D132" s="6">
        <f t="shared" si="7"/>
        <v>10</v>
      </c>
    </row>
    <row r="133" spans="1:4">
      <c r="A133" s="7">
        <f t="shared" si="9"/>
        <v>1111.04501914331</v>
      </c>
      <c r="B133" s="6">
        <f t="shared" si="5"/>
        <v>0</v>
      </c>
      <c r="C133" s="6">
        <f t="shared" si="6"/>
        <v>0</v>
      </c>
      <c r="D133" s="6">
        <f t="shared" si="7"/>
        <v>10</v>
      </c>
    </row>
    <row r="134" spans="1:4">
      <c r="A134" s="7">
        <f t="shared" si="9"/>
        <v>1111.04542472118</v>
      </c>
      <c r="B134" s="6">
        <f t="shared" si="5"/>
        <v>0</v>
      </c>
      <c r="C134" s="6">
        <f t="shared" si="6"/>
        <v>0</v>
      </c>
      <c r="D134" s="6">
        <f t="shared" si="7"/>
        <v>10</v>
      </c>
    </row>
    <row r="135" spans="1:4">
      <c r="A135" s="7">
        <f t="shared" si="9"/>
        <v>1111.04583029905</v>
      </c>
      <c r="B135" s="6">
        <f t="shared" si="5"/>
        <v>0</v>
      </c>
      <c r="C135" s="6">
        <f t="shared" si="6"/>
        <v>0</v>
      </c>
      <c r="D135" s="6">
        <f t="shared" si="7"/>
        <v>10</v>
      </c>
    </row>
    <row r="136" spans="1:4">
      <c r="A136" s="7">
        <f t="shared" si="9"/>
        <v>1111.04623587692</v>
      </c>
      <c r="B136" s="6">
        <f t="shared" si="5"/>
        <v>0</v>
      </c>
      <c r="C136" s="6">
        <f t="shared" si="6"/>
        <v>0</v>
      </c>
      <c r="D136" s="6">
        <f t="shared" si="7"/>
        <v>10</v>
      </c>
    </row>
    <row r="137" spans="1:4">
      <c r="A137" s="7">
        <f t="shared" si="9"/>
        <v>1111.04664145479</v>
      </c>
      <c r="B137" s="6">
        <f t="shared" si="5"/>
        <v>0</v>
      </c>
      <c r="C137" s="6">
        <f t="shared" si="6"/>
        <v>0</v>
      </c>
      <c r="D137" s="6">
        <f t="shared" si="7"/>
        <v>10</v>
      </c>
    </row>
    <row r="138" spans="1:4">
      <c r="A138" s="7">
        <f t="shared" si="9"/>
        <v>1111.04704703265</v>
      </c>
      <c r="B138" s="6">
        <f t="shared" si="5"/>
        <v>0</v>
      </c>
      <c r="C138" s="6">
        <f t="shared" si="6"/>
        <v>0</v>
      </c>
      <c r="D138" s="6">
        <f t="shared" si="7"/>
        <v>10</v>
      </c>
    </row>
    <row r="139" spans="1:4">
      <c r="A139" s="7">
        <f t="shared" si="9"/>
        <v>1111.04745261052</v>
      </c>
      <c r="B139" s="6">
        <f t="shared" si="5"/>
        <v>0</v>
      </c>
      <c r="C139" s="6">
        <f t="shared" si="6"/>
        <v>0</v>
      </c>
      <c r="D139" s="6">
        <f t="shared" si="7"/>
        <v>10</v>
      </c>
    </row>
    <row r="140" spans="1:4">
      <c r="A140" s="7">
        <f t="shared" si="9"/>
        <v>1111.04785818839</v>
      </c>
      <c r="B140" s="6">
        <f t="shared" si="5"/>
        <v>0</v>
      </c>
      <c r="C140" s="6">
        <f t="shared" si="6"/>
        <v>0</v>
      </c>
      <c r="D140" s="6">
        <f t="shared" si="7"/>
        <v>10</v>
      </c>
    </row>
    <row r="141" spans="1:4">
      <c r="A141" s="7">
        <f t="shared" si="9"/>
        <v>1111.04826376626</v>
      </c>
      <c r="B141" s="6">
        <f t="shared" si="5"/>
        <v>0</v>
      </c>
      <c r="C141" s="6">
        <f t="shared" si="6"/>
        <v>0</v>
      </c>
      <c r="D141" s="6">
        <f t="shared" si="7"/>
        <v>10</v>
      </c>
    </row>
    <row r="142" spans="1:4">
      <c r="A142" s="7">
        <f t="shared" si="9"/>
        <v>1111.04866934412</v>
      </c>
      <c r="B142" s="6">
        <f t="shared" si="5"/>
        <v>0</v>
      </c>
      <c r="C142" s="6">
        <f t="shared" si="6"/>
        <v>0</v>
      </c>
      <c r="D142" s="6">
        <f t="shared" si="7"/>
        <v>10</v>
      </c>
    </row>
    <row r="143" spans="1:4">
      <c r="A143" s="7">
        <f t="shared" si="9"/>
        <v>1111.04907492199</v>
      </c>
      <c r="B143" s="6">
        <f t="shared" si="5"/>
        <v>0</v>
      </c>
      <c r="C143" s="6">
        <f t="shared" si="6"/>
        <v>0</v>
      </c>
      <c r="D143" s="6">
        <f t="shared" si="7"/>
        <v>10</v>
      </c>
    </row>
    <row r="144" spans="1:4">
      <c r="A144" s="7">
        <f t="shared" si="9"/>
        <v>1111.04948049986</v>
      </c>
      <c r="B144" s="6">
        <f t="shared" si="5"/>
        <v>0</v>
      </c>
      <c r="C144" s="6">
        <f t="shared" si="6"/>
        <v>0</v>
      </c>
      <c r="D144" s="6">
        <f t="shared" si="7"/>
        <v>10</v>
      </c>
    </row>
    <row r="145" spans="1:4">
      <c r="A145" s="7">
        <f t="shared" si="9"/>
        <v>1111.04988607773</v>
      </c>
      <c r="B145" s="6">
        <f t="shared" si="5"/>
        <v>0</v>
      </c>
      <c r="C145" s="6">
        <f t="shared" si="6"/>
        <v>0</v>
      </c>
      <c r="D145" s="6">
        <f t="shared" si="7"/>
        <v>10</v>
      </c>
    </row>
    <row r="146" spans="1:4">
      <c r="A146" s="7">
        <f t="shared" si="9"/>
        <v>1111.05029165559</v>
      </c>
      <c r="B146" s="6">
        <f t="shared" si="5"/>
        <v>0</v>
      </c>
      <c r="C146" s="6">
        <f t="shared" si="6"/>
        <v>0</v>
      </c>
      <c r="D146" s="6">
        <f t="shared" si="7"/>
        <v>10</v>
      </c>
    </row>
    <row r="147" spans="1:4">
      <c r="A147" s="7">
        <f t="shared" si="9"/>
        <v>1111.05069723346</v>
      </c>
      <c r="B147" s="6">
        <f t="shared" si="5"/>
        <v>0</v>
      </c>
      <c r="C147" s="6">
        <f t="shared" si="6"/>
        <v>0</v>
      </c>
      <c r="D147" s="6">
        <f t="shared" si="7"/>
        <v>10</v>
      </c>
    </row>
    <row r="148" spans="1:4">
      <c r="A148" s="7">
        <f t="shared" si="9"/>
        <v>1111.05110281133</v>
      </c>
      <c r="B148" s="6">
        <f t="shared" si="5"/>
        <v>0</v>
      </c>
      <c r="C148" s="6">
        <f t="shared" si="6"/>
        <v>0</v>
      </c>
      <c r="D148" s="6">
        <f t="shared" si="7"/>
        <v>10</v>
      </c>
    </row>
    <row r="149" spans="1:4">
      <c r="A149" s="7">
        <f t="shared" si="9"/>
        <v>1111.0515083892</v>
      </c>
      <c r="B149" s="6">
        <f t="shared" si="5"/>
        <v>0</v>
      </c>
      <c r="C149" s="6">
        <f t="shared" si="6"/>
        <v>0</v>
      </c>
      <c r="D149" s="6">
        <f t="shared" si="7"/>
        <v>10</v>
      </c>
    </row>
    <row r="150" spans="1:4">
      <c r="A150" s="7">
        <f t="shared" si="9"/>
        <v>1111.05191396707</v>
      </c>
      <c r="B150" s="6">
        <f t="shared" ref="B150:B213" si="10">(($B$8/($B$6*$B$13))*EXP(-$B$11*A150)*SIN($B$13*A150))*$B$5</f>
        <v>0</v>
      </c>
      <c r="C150" s="6">
        <f t="shared" ref="C150:C213" si="11">$B$8-B150-D150</f>
        <v>0</v>
      </c>
      <c r="D150" s="6">
        <f t="shared" ref="D150:D213" si="12">$B$8*(1-EXP(-$B$11*A150)*(COS($B$13*A150)+($B$11/$B$13)*SIN($B$13*A150)))</f>
        <v>10</v>
      </c>
    </row>
    <row r="151" spans="1:4">
      <c r="A151" s="7">
        <f t="shared" ref="A151:A182" si="13">A150+$B$17</f>
        <v>1111.05231954493</v>
      </c>
      <c r="B151" s="6">
        <f t="shared" si="10"/>
        <v>0</v>
      </c>
      <c r="C151" s="6">
        <f t="shared" si="11"/>
        <v>0</v>
      </c>
      <c r="D151" s="6">
        <f t="shared" si="12"/>
        <v>10</v>
      </c>
    </row>
    <row r="152" spans="1:4">
      <c r="A152" s="7">
        <f t="shared" si="13"/>
        <v>1111.0527251228</v>
      </c>
      <c r="B152" s="6">
        <f t="shared" si="10"/>
        <v>0</v>
      </c>
      <c r="C152" s="6">
        <f t="shared" si="11"/>
        <v>0</v>
      </c>
      <c r="D152" s="6">
        <f t="shared" si="12"/>
        <v>10</v>
      </c>
    </row>
    <row r="153" spans="1:4">
      <c r="A153" s="7">
        <f t="shared" si="13"/>
        <v>1111.05313070067</v>
      </c>
      <c r="B153" s="6">
        <f t="shared" si="10"/>
        <v>0</v>
      </c>
      <c r="C153" s="6">
        <f t="shared" si="11"/>
        <v>0</v>
      </c>
      <c r="D153" s="6">
        <f t="shared" si="12"/>
        <v>10</v>
      </c>
    </row>
    <row r="154" spans="1:4">
      <c r="A154" s="7">
        <f t="shared" si="13"/>
        <v>1111.05353627854</v>
      </c>
      <c r="B154" s="6">
        <f t="shared" si="10"/>
        <v>0</v>
      </c>
      <c r="C154" s="6">
        <f t="shared" si="11"/>
        <v>0</v>
      </c>
      <c r="D154" s="6">
        <f t="shared" si="12"/>
        <v>10</v>
      </c>
    </row>
    <row r="155" spans="1:4">
      <c r="A155" s="7">
        <f t="shared" si="13"/>
        <v>1111.0539418564</v>
      </c>
      <c r="B155" s="6">
        <f t="shared" si="10"/>
        <v>0</v>
      </c>
      <c r="C155" s="6">
        <f t="shared" si="11"/>
        <v>0</v>
      </c>
      <c r="D155" s="6">
        <f t="shared" si="12"/>
        <v>10</v>
      </c>
    </row>
    <row r="156" spans="1:4">
      <c r="A156" s="7">
        <f t="shared" si="13"/>
        <v>1111.05434743427</v>
      </c>
      <c r="B156" s="6">
        <f t="shared" si="10"/>
        <v>0</v>
      </c>
      <c r="C156" s="6">
        <f t="shared" si="11"/>
        <v>0</v>
      </c>
      <c r="D156" s="6">
        <f t="shared" si="12"/>
        <v>10</v>
      </c>
    </row>
    <row r="157" spans="1:4">
      <c r="A157" s="7">
        <f t="shared" si="13"/>
        <v>1111.05475301214</v>
      </c>
      <c r="B157" s="6">
        <f t="shared" si="10"/>
        <v>0</v>
      </c>
      <c r="C157" s="6">
        <f t="shared" si="11"/>
        <v>0</v>
      </c>
      <c r="D157" s="6">
        <f t="shared" si="12"/>
        <v>10</v>
      </c>
    </row>
    <row r="158" spans="1:4">
      <c r="A158" s="7">
        <f t="shared" si="13"/>
        <v>1111.05515859001</v>
      </c>
      <c r="B158" s="6">
        <f t="shared" si="10"/>
        <v>0</v>
      </c>
      <c r="C158" s="6">
        <f t="shared" si="11"/>
        <v>0</v>
      </c>
      <c r="D158" s="6">
        <f t="shared" si="12"/>
        <v>10</v>
      </c>
    </row>
    <row r="159" spans="1:4">
      <c r="A159" s="7">
        <f t="shared" si="13"/>
        <v>1111.05556416787</v>
      </c>
      <c r="B159" s="6">
        <f t="shared" si="10"/>
        <v>0</v>
      </c>
      <c r="C159" s="6">
        <f t="shared" si="11"/>
        <v>0</v>
      </c>
      <c r="D159" s="6">
        <f t="shared" si="12"/>
        <v>10</v>
      </c>
    </row>
    <row r="160" spans="1:4">
      <c r="A160" s="7">
        <f t="shared" si="13"/>
        <v>1111.05596974574</v>
      </c>
      <c r="B160" s="6">
        <f t="shared" si="10"/>
        <v>0</v>
      </c>
      <c r="C160" s="6">
        <f t="shared" si="11"/>
        <v>0</v>
      </c>
      <c r="D160" s="6">
        <f t="shared" si="12"/>
        <v>10</v>
      </c>
    </row>
    <row r="161" spans="1:4">
      <c r="A161" s="7">
        <f t="shared" si="13"/>
        <v>1111.05637532361</v>
      </c>
      <c r="B161" s="6">
        <f t="shared" si="10"/>
        <v>0</v>
      </c>
      <c r="C161" s="6">
        <f t="shared" si="11"/>
        <v>0</v>
      </c>
      <c r="D161" s="6">
        <f t="shared" si="12"/>
        <v>10</v>
      </c>
    </row>
    <row r="162" spans="1:4">
      <c r="A162" s="7">
        <f t="shared" si="13"/>
        <v>1111.05678090148</v>
      </c>
      <c r="B162" s="6">
        <f t="shared" si="10"/>
        <v>0</v>
      </c>
      <c r="C162" s="6">
        <f t="shared" si="11"/>
        <v>0</v>
      </c>
      <c r="D162" s="6">
        <f t="shared" si="12"/>
        <v>10</v>
      </c>
    </row>
    <row r="163" spans="1:4">
      <c r="A163" s="7">
        <f t="shared" si="13"/>
        <v>1111.05718647935</v>
      </c>
      <c r="B163" s="6">
        <f t="shared" si="10"/>
        <v>0</v>
      </c>
      <c r="C163" s="6">
        <f t="shared" si="11"/>
        <v>0</v>
      </c>
      <c r="D163" s="6">
        <f t="shared" si="12"/>
        <v>10</v>
      </c>
    </row>
    <row r="164" spans="1:4">
      <c r="A164" s="7">
        <f t="shared" si="13"/>
        <v>1111.05759205721</v>
      </c>
      <c r="B164" s="6">
        <f t="shared" si="10"/>
        <v>0</v>
      </c>
      <c r="C164" s="6">
        <f t="shared" si="11"/>
        <v>0</v>
      </c>
      <c r="D164" s="6">
        <f t="shared" si="12"/>
        <v>10</v>
      </c>
    </row>
    <row r="165" spans="1:4">
      <c r="A165" s="7">
        <f t="shared" si="13"/>
        <v>1111.05799763508</v>
      </c>
      <c r="B165" s="6">
        <f t="shared" si="10"/>
        <v>0</v>
      </c>
      <c r="C165" s="6">
        <f t="shared" si="11"/>
        <v>0</v>
      </c>
      <c r="D165" s="6">
        <f t="shared" si="12"/>
        <v>10</v>
      </c>
    </row>
    <row r="166" spans="1:4">
      <c r="A166" s="7">
        <f t="shared" si="13"/>
        <v>1111.05840321295</v>
      </c>
      <c r="B166" s="6">
        <f t="shared" si="10"/>
        <v>0</v>
      </c>
      <c r="C166" s="6">
        <f t="shared" si="11"/>
        <v>0</v>
      </c>
      <c r="D166" s="6">
        <f t="shared" si="12"/>
        <v>10</v>
      </c>
    </row>
    <row r="167" spans="1:4">
      <c r="A167" s="7">
        <f t="shared" si="13"/>
        <v>1111.05880879082</v>
      </c>
      <c r="B167" s="6">
        <f t="shared" si="10"/>
        <v>0</v>
      </c>
      <c r="C167" s="6">
        <f t="shared" si="11"/>
        <v>0</v>
      </c>
      <c r="D167" s="6">
        <f t="shared" si="12"/>
        <v>10</v>
      </c>
    </row>
    <row r="168" spans="1:4">
      <c r="A168" s="7">
        <f t="shared" si="13"/>
        <v>1111.05921436868</v>
      </c>
      <c r="B168" s="6">
        <f t="shared" si="10"/>
        <v>0</v>
      </c>
      <c r="C168" s="6">
        <f t="shared" si="11"/>
        <v>0</v>
      </c>
      <c r="D168" s="6">
        <f t="shared" si="12"/>
        <v>10</v>
      </c>
    </row>
    <row r="169" spans="1:4">
      <c r="A169" s="7">
        <f t="shared" si="13"/>
        <v>1111.05961994655</v>
      </c>
      <c r="B169" s="6">
        <f t="shared" si="10"/>
        <v>0</v>
      </c>
      <c r="C169" s="6">
        <f t="shared" si="11"/>
        <v>0</v>
      </c>
      <c r="D169" s="6">
        <f t="shared" si="12"/>
        <v>10</v>
      </c>
    </row>
    <row r="170" spans="1:4">
      <c r="A170" s="7">
        <f t="shared" si="13"/>
        <v>1111.06002552442</v>
      </c>
      <c r="B170" s="6">
        <f t="shared" si="10"/>
        <v>0</v>
      </c>
      <c r="C170" s="6">
        <f t="shared" si="11"/>
        <v>0</v>
      </c>
      <c r="D170" s="6">
        <f t="shared" si="12"/>
        <v>10</v>
      </c>
    </row>
    <row r="171" spans="1:4">
      <c r="A171" s="7">
        <f t="shared" si="13"/>
        <v>1111.06043110229</v>
      </c>
      <c r="B171" s="6">
        <f t="shared" si="10"/>
        <v>0</v>
      </c>
      <c r="C171" s="6">
        <f t="shared" si="11"/>
        <v>0</v>
      </c>
      <c r="D171" s="6">
        <f t="shared" si="12"/>
        <v>10</v>
      </c>
    </row>
    <row r="172" spans="1:4">
      <c r="A172" s="7">
        <f t="shared" si="13"/>
        <v>1111.06083668015</v>
      </c>
      <c r="B172" s="6">
        <f t="shared" si="10"/>
        <v>0</v>
      </c>
      <c r="C172" s="6">
        <f t="shared" si="11"/>
        <v>0</v>
      </c>
      <c r="D172" s="6">
        <f t="shared" si="12"/>
        <v>10</v>
      </c>
    </row>
    <row r="173" spans="1:4">
      <c r="A173" s="7">
        <f t="shared" si="13"/>
        <v>1111.06124225802</v>
      </c>
      <c r="B173" s="6">
        <f t="shared" si="10"/>
        <v>0</v>
      </c>
      <c r="C173" s="6">
        <f t="shared" si="11"/>
        <v>0</v>
      </c>
      <c r="D173" s="6">
        <f t="shared" si="12"/>
        <v>10</v>
      </c>
    </row>
    <row r="174" spans="1:4">
      <c r="A174" s="7">
        <f t="shared" si="13"/>
        <v>1111.06164783589</v>
      </c>
      <c r="B174" s="6">
        <f t="shared" si="10"/>
        <v>0</v>
      </c>
      <c r="C174" s="6">
        <f t="shared" si="11"/>
        <v>0</v>
      </c>
      <c r="D174" s="6">
        <f t="shared" si="12"/>
        <v>10</v>
      </c>
    </row>
    <row r="175" spans="1:4">
      <c r="A175" s="7">
        <f t="shared" si="13"/>
        <v>1111.06205341376</v>
      </c>
      <c r="B175" s="6">
        <f t="shared" si="10"/>
        <v>0</v>
      </c>
      <c r="C175" s="6">
        <f t="shared" si="11"/>
        <v>0</v>
      </c>
      <c r="D175" s="6">
        <f t="shared" si="12"/>
        <v>10</v>
      </c>
    </row>
    <row r="176" spans="1:4">
      <c r="A176" s="7">
        <f t="shared" si="13"/>
        <v>1111.06245899163</v>
      </c>
      <c r="B176" s="6">
        <f t="shared" si="10"/>
        <v>0</v>
      </c>
      <c r="C176" s="6">
        <f t="shared" si="11"/>
        <v>0</v>
      </c>
      <c r="D176" s="6">
        <f t="shared" si="12"/>
        <v>10</v>
      </c>
    </row>
    <row r="177" spans="1:4">
      <c r="A177" s="7">
        <f t="shared" si="13"/>
        <v>1111.06286456949</v>
      </c>
      <c r="B177" s="6">
        <f t="shared" si="10"/>
        <v>0</v>
      </c>
      <c r="C177" s="6">
        <f t="shared" si="11"/>
        <v>0</v>
      </c>
      <c r="D177" s="6">
        <f t="shared" si="12"/>
        <v>10</v>
      </c>
    </row>
    <row r="178" spans="1:4">
      <c r="A178" s="7">
        <f t="shared" si="13"/>
        <v>1111.06327014736</v>
      </c>
      <c r="B178" s="6">
        <f t="shared" si="10"/>
        <v>0</v>
      </c>
      <c r="C178" s="6">
        <f t="shared" si="11"/>
        <v>0</v>
      </c>
      <c r="D178" s="6">
        <f t="shared" si="12"/>
        <v>10</v>
      </c>
    </row>
    <row r="179" spans="1:4">
      <c r="A179" s="7">
        <f t="shared" si="13"/>
        <v>1111.06367572523</v>
      </c>
      <c r="B179" s="6">
        <f t="shared" si="10"/>
        <v>0</v>
      </c>
      <c r="C179" s="6">
        <f t="shared" si="11"/>
        <v>0</v>
      </c>
      <c r="D179" s="6">
        <f t="shared" si="12"/>
        <v>10</v>
      </c>
    </row>
    <row r="180" spans="1:4">
      <c r="A180" s="7">
        <f t="shared" si="13"/>
        <v>1111.0640813031</v>
      </c>
      <c r="B180" s="6">
        <f t="shared" si="10"/>
        <v>0</v>
      </c>
      <c r="C180" s="6">
        <f t="shared" si="11"/>
        <v>0</v>
      </c>
      <c r="D180" s="6">
        <f t="shared" si="12"/>
        <v>10</v>
      </c>
    </row>
    <row r="181" spans="1:4">
      <c r="A181" s="7">
        <f t="shared" si="13"/>
        <v>1111.06448688096</v>
      </c>
      <c r="B181" s="6">
        <f t="shared" si="10"/>
        <v>0</v>
      </c>
      <c r="C181" s="6">
        <f t="shared" si="11"/>
        <v>0</v>
      </c>
      <c r="D181" s="6">
        <f t="shared" si="12"/>
        <v>10</v>
      </c>
    </row>
    <row r="182" spans="1:4">
      <c r="A182" s="7">
        <f t="shared" si="13"/>
        <v>1111.06489245883</v>
      </c>
      <c r="B182" s="6">
        <f t="shared" si="10"/>
        <v>0</v>
      </c>
      <c r="C182" s="6">
        <f t="shared" si="11"/>
        <v>0</v>
      </c>
      <c r="D182" s="6">
        <f t="shared" si="12"/>
        <v>10</v>
      </c>
    </row>
    <row r="183" spans="1:4">
      <c r="A183" s="7">
        <f t="shared" ref="A183:A214" si="14">A182+$B$17</f>
        <v>1111.0652980367</v>
      </c>
      <c r="B183" s="6">
        <f t="shared" si="10"/>
        <v>0</v>
      </c>
      <c r="C183" s="6">
        <f t="shared" si="11"/>
        <v>0</v>
      </c>
      <c r="D183" s="6">
        <f t="shared" si="12"/>
        <v>10</v>
      </c>
    </row>
    <row r="184" spans="1:4">
      <c r="A184" s="7">
        <f t="shared" si="14"/>
        <v>1111.06570361457</v>
      </c>
      <c r="B184" s="6">
        <f t="shared" si="10"/>
        <v>0</v>
      </c>
      <c r="C184" s="6">
        <f t="shared" si="11"/>
        <v>0</v>
      </c>
      <c r="D184" s="6">
        <f t="shared" si="12"/>
        <v>10</v>
      </c>
    </row>
    <row r="185" spans="1:4">
      <c r="A185" s="7">
        <f t="shared" si="14"/>
        <v>1111.06610919243</v>
      </c>
      <c r="B185" s="6">
        <f t="shared" si="10"/>
        <v>0</v>
      </c>
      <c r="C185" s="6">
        <f t="shared" si="11"/>
        <v>0</v>
      </c>
      <c r="D185" s="6">
        <f t="shared" si="12"/>
        <v>10</v>
      </c>
    </row>
    <row r="186" spans="1:4">
      <c r="A186" s="7">
        <f t="shared" si="14"/>
        <v>1111.0665147703</v>
      </c>
      <c r="B186" s="6">
        <f t="shared" si="10"/>
        <v>0</v>
      </c>
      <c r="C186" s="6">
        <f t="shared" si="11"/>
        <v>0</v>
      </c>
      <c r="D186" s="6">
        <f t="shared" si="12"/>
        <v>10</v>
      </c>
    </row>
    <row r="187" spans="1:4">
      <c r="A187" s="7">
        <f t="shared" si="14"/>
        <v>1111.06692034817</v>
      </c>
      <c r="B187" s="6">
        <f t="shared" si="10"/>
        <v>0</v>
      </c>
      <c r="C187" s="6">
        <f t="shared" si="11"/>
        <v>0</v>
      </c>
      <c r="D187" s="6">
        <f t="shared" si="12"/>
        <v>10</v>
      </c>
    </row>
    <row r="188" spans="1:4">
      <c r="A188" s="7">
        <f t="shared" si="14"/>
        <v>1111.06732592604</v>
      </c>
      <c r="B188" s="6">
        <f t="shared" si="10"/>
        <v>0</v>
      </c>
      <c r="C188" s="6">
        <f t="shared" si="11"/>
        <v>0</v>
      </c>
      <c r="D188" s="6">
        <f t="shared" si="12"/>
        <v>10</v>
      </c>
    </row>
    <row r="189" spans="1:4">
      <c r="A189" s="7">
        <f t="shared" si="14"/>
        <v>1111.06773150391</v>
      </c>
      <c r="B189" s="6">
        <f t="shared" si="10"/>
        <v>0</v>
      </c>
      <c r="C189" s="6">
        <f t="shared" si="11"/>
        <v>0</v>
      </c>
      <c r="D189" s="6">
        <f t="shared" si="12"/>
        <v>10</v>
      </c>
    </row>
    <row r="190" spans="1:4">
      <c r="A190" s="7">
        <f t="shared" si="14"/>
        <v>1111.06813708177</v>
      </c>
      <c r="B190" s="6">
        <f t="shared" si="10"/>
        <v>0</v>
      </c>
      <c r="C190" s="6">
        <f t="shared" si="11"/>
        <v>0</v>
      </c>
      <c r="D190" s="6">
        <f t="shared" si="12"/>
        <v>10</v>
      </c>
    </row>
    <row r="191" spans="1:4">
      <c r="A191" s="7">
        <f t="shared" si="14"/>
        <v>1111.06854265964</v>
      </c>
      <c r="B191" s="6">
        <f t="shared" si="10"/>
        <v>0</v>
      </c>
      <c r="C191" s="6">
        <f t="shared" si="11"/>
        <v>0</v>
      </c>
      <c r="D191" s="6">
        <f t="shared" si="12"/>
        <v>10</v>
      </c>
    </row>
    <row r="192" spans="1:4">
      <c r="A192" s="7">
        <f t="shared" si="14"/>
        <v>1111.06894823751</v>
      </c>
      <c r="B192" s="6">
        <f t="shared" si="10"/>
        <v>0</v>
      </c>
      <c r="C192" s="6">
        <f t="shared" si="11"/>
        <v>0</v>
      </c>
      <c r="D192" s="6">
        <f t="shared" si="12"/>
        <v>10</v>
      </c>
    </row>
    <row r="193" spans="1:4">
      <c r="A193" s="7">
        <f t="shared" si="14"/>
        <v>1111.06935381538</v>
      </c>
      <c r="B193" s="6">
        <f t="shared" si="10"/>
        <v>0</v>
      </c>
      <c r="C193" s="6">
        <f t="shared" si="11"/>
        <v>0</v>
      </c>
      <c r="D193" s="6">
        <f t="shared" si="12"/>
        <v>10</v>
      </c>
    </row>
    <row r="194" spans="1:4">
      <c r="A194" s="7">
        <f t="shared" si="14"/>
        <v>1111.06975939324</v>
      </c>
      <c r="B194" s="6">
        <f t="shared" si="10"/>
        <v>0</v>
      </c>
      <c r="C194" s="6">
        <f t="shared" si="11"/>
        <v>0</v>
      </c>
      <c r="D194" s="6">
        <f t="shared" si="12"/>
        <v>10</v>
      </c>
    </row>
    <row r="195" spans="1:4">
      <c r="A195" s="7">
        <f t="shared" si="14"/>
        <v>1111.07016497111</v>
      </c>
      <c r="B195" s="6">
        <f t="shared" si="10"/>
        <v>0</v>
      </c>
      <c r="C195" s="6">
        <f t="shared" si="11"/>
        <v>0</v>
      </c>
      <c r="D195" s="6">
        <f t="shared" si="12"/>
        <v>10</v>
      </c>
    </row>
    <row r="196" spans="1:4">
      <c r="A196" s="7">
        <f t="shared" si="14"/>
        <v>1111.07057054898</v>
      </c>
      <c r="B196" s="6">
        <f t="shared" si="10"/>
        <v>0</v>
      </c>
      <c r="C196" s="6">
        <f t="shared" si="11"/>
        <v>0</v>
      </c>
      <c r="D196" s="6">
        <f t="shared" si="12"/>
        <v>10</v>
      </c>
    </row>
    <row r="197" spans="1:4">
      <c r="A197" s="7">
        <f t="shared" si="14"/>
        <v>1111.07097612685</v>
      </c>
      <c r="B197" s="6">
        <f t="shared" si="10"/>
        <v>0</v>
      </c>
      <c r="C197" s="6">
        <f t="shared" si="11"/>
        <v>0</v>
      </c>
      <c r="D197" s="6">
        <f t="shared" si="12"/>
        <v>10</v>
      </c>
    </row>
    <row r="198" spans="1:4">
      <c r="A198" s="7">
        <f t="shared" si="14"/>
        <v>1111.07138170471</v>
      </c>
      <c r="B198" s="6">
        <f t="shared" si="10"/>
        <v>0</v>
      </c>
      <c r="C198" s="6">
        <f t="shared" si="11"/>
        <v>0</v>
      </c>
      <c r="D198" s="6">
        <f t="shared" si="12"/>
        <v>10</v>
      </c>
    </row>
    <row r="199" spans="1:4">
      <c r="A199" s="7">
        <f t="shared" si="14"/>
        <v>1111.07178728258</v>
      </c>
      <c r="B199" s="6">
        <f t="shared" si="10"/>
        <v>0</v>
      </c>
      <c r="C199" s="6">
        <f t="shared" si="11"/>
        <v>0</v>
      </c>
      <c r="D199" s="6">
        <f t="shared" si="12"/>
        <v>10</v>
      </c>
    </row>
    <row r="200" spans="1:4">
      <c r="A200" s="7">
        <f t="shared" si="14"/>
        <v>1111.07219286045</v>
      </c>
      <c r="B200" s="6">
        <f t="shared" si="10"/>
        <v>0</v>
      </c>
      <c r="C200" s="6">
        <f t="shared" si="11"/>
        <v>0</v>
      </c>
      <c r="D200" s="6">
        <f t="shared" si="12"/>
        <v>10</v>
      </c>
    </row>
    <row r="201" spans="1:4">
      <c r="A201" s="7">
        <f t="shared" si="14"/>
        <v>1111.07259843832</v>
      </c>
      <c r="B201" s="6">
        <f t="shared" si="10"/>
        <v>0</v>
      </c>
      <c r="C201" s="6">
        <f t="shared" si="11"/>
        <v>0</v>
      </c>
      <c r="D201" s="6">
        <f t="shared" si="12"/>
        <v>10</v>
      </c>
    </row>
    <row r="202" spans="1:4">
      <c r="A202" s="7">
        <f t="shared" si="14"/>
        <v>1111.07300401619</v>
      </c>
      <c r="B202" s="6">
        <f t="shared" si="10"/>
        <v>0</v>
      </c>
      <c r="C202" s="6">
        <f t="shared" si="11"/>
        <v>0</v>
      </c>
      <c r="D202" s="6">
        <f t="shared" si="12"/>
        <v>10</v>
      </c>
    </row>
    <row r="203" spans="1:4">
      <c r="A203" s="7">
        <f t="shared" si="14"/>
        <v>1111.07340959405</v>
      </c>
      <c r="B203" s="6">
        <f t="shared" si="10"/>
        <v>0</v>
      </c>
      <c r="C203" s="6">
        <f t="shared" si="11"/>
        <v>0</v>
      </c>
      <c r="D203" s="6">
        <f t="shared" si="12"/>
        <v>10</v>
      </c>
    </row>
    <row r="204" spans="1:4">
      <c r="A204" s="7">
        <f t="shared" si="14"/>
        <v>1111.07381517192</v>
      </c>
      <c r="B204" s="6">
        <f t="shared" si="10"/>
        <v>0</v>
      </c>
      <c r="C204" s="6">
        <f t="shared" si="11"/>
        <v>0</v>
      </c>
      <c r="D204" s="6">
        <f t="shared" si="12"/>
        <v>10</v>
      </c>
    </row>
    <row r="205" spans="1:4">
      <c r="A205" s="7">
        <f t="shared" si="14"/>
        <v>1111.07422074979</v>
      </c>
      <c r="B205" s="6">
        <f t="shared" si="10"/>
        <v>0</v>
      </c>
      <c r="C205" s="6">
        <f t="shared" si="11"/>
        <v>0</v>
      </c>
      <c r="D205" s="6">
        <f t="shared" si="12"/>
        <v>10</v>
      </c>
    </row>
    <row r="206" spans="1:4">
      <c r="A206" s="7">
        <f t="shared" si="14"/>
        <v>1111.07462632766</v>
      </c>
      <c r="B206" s="6">
        <f t="shared" si="10"/>
        <v>0</v>
      </c>
      <c r="C206" s="6">
        <f t="shared" si="11"/>
        <v>0</v>
      </c>
      <c r="D206" s="6">
        <f t="shared" si="12"/>
        <v>10</v>
      </c>
    </row>
    <row r="207" spans="1:4">
      <c r="A207" s="7">
        <f t="shared" si="14"/>
        <v>1111.07503190552</v>
      </c>
      <c r="B207" s="6">
        <f t="shared" si="10"/>
        <v>0</v>
      </c>
      <c r="C207" s="6">
        <f t="shared" si="11"/>
        <v>0</v>
      </c>
      <c r="D207" s="6">
        <f t="shared" si="12"/>
        <v>10</v>
      </c>
    </row>
    <row r="208" spans="1:4">
      <c r="A208" s="7">
        <f t="shared" si="14"/>
        <v>1111.07543748339</v>
      </c>
      <c r="B208" s="6">
        <f t="shared" si="10"/>
        <v>0</v>
      </c>
      <c r="C208" s="6">
        <f t="shared" si="11"/>
        <v>0</v>
      </c>
      <c r="D208" s="6">
        <f t="shared" si="12"/>
        <v>10</v>
      </c>
    </row>
    <row r="209" spans="1:4">
      <c r="A209" s="7">
        <f t="shared" si="14"/>
        <v>1111.07584306126</v>
      </c>
      <c r="B209" s="6">
        <f t="shared" si="10"/>
        <v>0</v>
      </c>
      <c r="C209" s="6">
        <f t="shared" si="11"/>
        <v>0</v>
      </c>
      <c r="D209" s="6">
        <f t="shared" si="12"/>
        <v>10</v>
      </c>
    </row>
    <row r="210" spans="1:4">
      <c r="A210" s="7">
        <f t="shared" si="14"/>
        <v>1111.07624863913</v>
      </c>
      <c r="B210" s="6">
        <f t="shared" si="10"/>
        <v>0</v>
      </c>
      <c r="C210" s="6">
        <f t="shared" si="11"/>
        <v>0</v>
      </c>
      <c r="D210" s="6">
        <f t="shared" si="12"/>
        <v>10</v>
      </c>
    </row>
    <row r="211" spans="1:4">
      <c r="A211" s="7">
        <f t="shared" si="14"/>
        <v>1111.07665421699</v>
      </c>
      <c r="B211" s="6">
        <f t="shared" si="10"/>
        <v>0</v>
      </c>
      <c r="C211" s="6">
        <f t="shared" si="11"/>
        <v>0</v>
      </c>
      <c r="D211" s="6">
        <f t="shared" si="12"/>
        <v>10</v>
      </c>
    </row>
    <row r="212" spans="1:4">
      <c r="A212" s="7">
        <f t="shared" si="14"/>
        <v>1111.07705979486</v>
      </c>
      <c r="B212" s="6">
        <f t="shared" si="10"/>
        <v>0</v>
      </c>
      <c r="C212" s="6">
        <f t="shared" si="11"/>
        <v>0</v>
      </c>
      <c r="D212" s="6">
        <f t="shared" si="12"/>
        <v>10</v>
      </c>
    </row>
    <row r="213" spans="1:4">
      <c r="A213" s="7">
        <f t="shared" si="14"/>
        <v>1111.07746537273</v>
      </c>
      <c r="B213" s="6">
        <f t="shared" si="10"/>
        <v>0</v>
      </c>
      <c r="C213" s="6">
        <f t="shared" si="11"/>
        <v>0</v>
      </c>
      <c r="D213" s="6">
        <f t="shared" si="12"/>
        <v>10</v>
      </c>
    </row>
    <row r="214" spans="1:4">
      <c r="A214" s="7">
        <f t="shared" si="14"/>
        <v>1111.0778709506</v>
      </c>
      <c r="B214" s="6">
        <f t="shared" ref="B214:B277" si="15">(($B$8/($B$6*$B$13))*EXP(-$B$11*A214)*SIN($B$13*A214))*$B$5</f>
        <v>0</v>
      </c>
      <c r="C214" s="6">
        <f t="shared" ref="C214:C277" si="16">$B$8-B214-D214</f>
        <v>0</v>
      </c>
      <c r="D214" s="6">
        <f t="shared" ref="D214:D222" si="17">$B$8*(1-EXP(-$B$11*A214)*(COS($B$13*A214)+($B$11/$B$13)*SIN($B$13*A214)))</f>
        <v>10</v>
      </c>
    </row>
    <row r="215" spans="1:4">
      <c r="A215" s="7">
        <f t="shared" ref="A215:A222" si="18">A214+$B$17</f>
        <v>1111.07827652847</v>
      </c>
      <c r="B215" s="6">
        <f t="shared" si="15"/>
        <v>0</v>
      </c>
      <c r="C215" s="6">
        <f t="shared" si="16"/>
        <v>0</v>
      </c>
      <c r="D215" s="6">
        <f t="shared" si="17"/>
        <v>10</v>
      </c>
    </row>
    <row r="216" spans="1:4">
      <c r="A216" s="7">
        <f t="shared" si="18"/>
        <v>1111.07868210633</v>
      </c>
      <c r="B216" s="6">
        <f t="shared" si="15"/>
        <v>0</v>
      </c>
      <c r="C216" s="6">
        <f t="shared" si="16"/>
        <v>0</v>
      </c>
      <c r="D216" s="6">
        <f t="shared" si="17"/>
        <v>10</v>
      </c>
    </row>
    <row r="217" spans="1:4">
      <c r="A217" s="7">
        <f t="shared" si="18"/>
        <v>1111.0790876842</v>
      </c>
      <c r="B217" s="6">
        <f t="shared" si="15"/>
        <v>0</v>
      </c>
      <c r="C217" s="6">
        <f t="shared" si="16"/>
        <v>0</v>
      </c>
      <c r="D217" s="6">
        <f t="shared" si="17"/>
        <v>10</v>
      </c>
    </row>
    <row r="218" spans="1:4">
      <c r="A218" s="7">
        <f t="shared" si="18"/>
        <v>1111.07949326207</v>
      </c>
      <c r="B218" s="6">
        <f t="shared" si="15"/>
        <v>0</v>
      </c>
      <c r="C218" s="6">
        <f t="shared" si="16"/>
        <v>0</v>
      </c>
      <c r="D218" s="6">
        <f t="shared" si="17"/>
        <v>10</v>
      </c>
    </row>
    <row r="219" spans="1:4">
      <c r="A219" s="7">
        <f t="shared" si="18"/>
        <v>1111.07989883994</v>
      </c>
      <c r="B219" s="6">
        <f t="shared" si="15"/>
        <v>0</v>
      </c>
      <c r="C219" s="6">
        <f t="shared" si="16"/>
        <v>0</v>
      </c>
      <c r="D219" s="6">
        <f t="shared" si="17"/>
        <v>10</v>
      </c>
    </row>
    <row r="220" spans="1:4">
      <c r="A220" s="7">
        <f t="shared" si="18"/>
        <v>1111.0803044178</v>
      </c>
      <c r="B220" s="6">
        <f t="shared" si="15"/>
        <v>0</v>
      </c>
      <c r="C220" s="6">
        <f t="shared" si="16"/>
        <v>0</v>
      </c>
      <c r="D220" s="6">
        <f t="shared" si="17"/>
        <v>10</v>
      </c>
    </row>
    <row r="221" spans="1:4">
      <c r="A221" s="7">
        <f t="shared" si="18"/>
        <v>1111.08070999567</v>
      </c>
      <c r="B221" s="6">
        <f t="shared" si="15"/>
        <v>0</v>
      </c>
      <c r="C221" s="6">
        <f t="shared" si="16"/>
        <v>0</v>
      </c>
      <c r="D221" s="6">
        <f t="shared" si="17"/>
        <v>10</v>
      </c>
    </row>
    <row r="222" spans="1:4">
      <c r="A222" s="7">
        <f t="shared" si="18"/>
        <v>1111.08111557354</v>
      </c>
      <c r="B222" s="6">
        <f t="shared" si="15"/>
        <v>0</v>
      </c>
      <c r="C222" s="6">
        <f t="shared" si="16"/>
        <v>0</v>
      </c>
      <c r="D222" s="6">
        <f t="shared" si="17"/>
        <v>10</v>
      </c>
    </row>
  </sheetData>
  <mergeCells count="1">
    <mergeCell ref="A19:D19"/>
  </mergeCell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RLC Transient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石嘉宇</cp:lastModifiedBy>
  <cp:revision>1</cp:revision>
  <dcterms:created xsi:type="dcterms:W3CDTF">2026-09-17T00:04:00Z</dcterms:created>
  <dcterms:modified xsi:type="dcterms:W3CDTF">2026-09-21T00:30:02Z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B6ABFB50947A4033847578CEB5CF6AA8_12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