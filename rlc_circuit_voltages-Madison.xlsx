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dison/Fall2026_RobocupTraining/"/>
    </mc:Choice>
  </mc:AlternateContent>
  <xr:revisionPtr revIDLastSave="0" documentId="13_ncr:1_{B077FB35-F359-D74E-8229-72D46021250D}" xr6:coauthVersionLast="47" xr6:coauthVersionMax="47" xr10:uidLastSave="{00000000-0000-0000-0000-000000000000}"/>
  <bookViews>
    <workbookView xWindow="0" yWindow="660" windowWidth="23260" windowHeight="13900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3" i="1" l="1"/>
  <c r="B14" i="1" s="1"/>
  <c r="B15" i="1" s="1"/>
  <c r="B17" i="1" s="1"/>
  <c r="A23" i="1" s="1"/>
  <c r="A24" i="1" s="1"/>
  <c r="B24" i="1" s="1"/>
  <c r="D22" i="1" l="1"/>
  <c r="B22" i="1"/>
  <c r="B23" i="1"/>
  <c r="C22" i="1"/>
  <c r="D23" i="1"/>
  <c r="D24" i="1"/>
  <c r="C24" i="1" s="1"/>
  <c r="A25" i="1"/>
  <c r="C23" i="1" l="1"/>
  <c r="A26" i="1"/>
  <c r="B25" i="1"/>
  <c r="D25" i="1"/>
  <c r="C25" i="1" l="1"/>
  <c r="A27" i="1"/>
  <c r="D26" i="1"/>
  <c r="B26" i="1"/>
  <c r="C26" i="1" l="1"/>
  <c r="A28" i="1"/>
  <c r="B27" i="1"/>
  <c r="D27" i="1"/>
  <c r="C27" i="1" l="1"/>
  <c r="A29" i="1"/>
  <c r="B28" i="1"/>
  <c r="D28" i="1"/>
  <c r="C28" i="1" l="1"/>
  <c r="A30" i="1"/>
  <c r="D29" i="1"/>
  <c r="B29" i="1"/>
  <c r="C29" i="1" s="1"/>
  <c r="A31" i="1" l="1"/>
  <c r="D30" i="1"/>
  <c r="B30" i="1"/>
  <c r="C30" i="1" s="1"/>
  <c r="A32" i="1" l="1"/>
  <c r="B31" i="1"/>
  <c r="D31" i="1"/>
  <c r="A33" i="1" l="1"/>
  <c r="D32" i="1"/>
  <c r="B32" i="1"/>
  <c r="C32" i="1" s="1"/>
  <c r="C31" i="1"/>
  <c r="A34" i="1" l="1"/>
  <c r="D33" i="1"/>
  <c r="B33" i="1"/>
  <c r="C33" i="1" s="1"/>
  <c r="A35" i="1" l="1"/>
  <c r="B34" i="1"/>
  <c r="D34" i="1"/>
  <c r="A36" i="1" l="1"/>
  <c r="D35" i="1"/>
  <c r="B35" i="1"/>
  <c r="C35" i="1" s="1"/>
  <c r="C34" i="1"/>
  <c r="A37" i="1" l="1"/>
  <c r="D36" i="1"/>
  <c r="B36" i="1"/>
  <c r="C36" i="1" s="1"/>
  <c r="A38" i="1" l="1"/>
  <c r="D37" i="1"/>
  <c r="B37" i="1"/>
  <c r="C37" i="1" s="1"/>
  <c r="A39" i="1" l="1"/>
  <c r="B38" i="1"/>
  <c r="D38" i="1"/>
  <c r="A40" i="1" l="1"/>
  <c r="D39" i="1"/>
  <c r="B39" i="1"/>
  <c r="C39" i="1" s="1"/>
  <c r="C38" i="1"/>
  <c r="A41" i="1" l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s="1"/>
  <c r="A52" i="1" l="1"/>
  <c r="D51" i="1"/>
  <c r="B51" i="1"/>
  <c r="C51" i="1" s="1"/>
  <c r="A53" i="1" l="1"/>
  <c r="D52" i="1"/>
  <c r="B52" i="1"/>
  <c r="C52" i="1" s="1"/>
  <c r="A54" i="1" l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s="1"/>
  <c r="A60" i="1" l="1"/>
  <c r="D59" i="1"/>
  <c r="B59" i="1"/>
  <c r="C59" i="1" s="1"/>
  <c r="A61" i="1" l="1"/>
  <c r="B60" i="1"/>
  <c r="D60" i="1"/>
  <c r="C60" i="1" l="1"/>
  <c r="A62" i="1"/>
  <c r="D61" i="1"/>
  <c r="B61" i="1"/>
  <c r="C61" i="1" s="1"/>
  <c r="A63" i="1" l="1"/>
  <c r="D62" i="1"/>
  <c r="B62" i="1"/>
  <c r="C62" i="1" s="1"/>
  <c r="A64" i="1" l="1"/>
  <c r="B63" i="1"/>
  <c r="D63" i="1"/>
  <c r="C63" i="1" l="1"/>
  <c r="A65" i="1"/>
  <c r="D64" i="1"/>
  <c r="B64" i="1"/>
  <c r="C64" i="1" s="1"/>
  <c r="A66" i="1" l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s="1"/>
  <c r="A70" i="1" l="1"/>
  <c r="D69" i="1"/>
  <c r="B69" i="1"/>
  <c r="C69" i="1" s="1"/>
  <c r="A71" i="1" l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s="1"/>
  <c r="A77" i="1" l="1"/>
  <c r="D76" i="1"/>
  <c r="B76" i="1"/>
  <c r="C76" i="1" s="1"/>
  <c r="A78" i="1" l="1"/>
  <c r="D77" i="1"/>
  <c r="B77" i="1"/>
  <c r="C77" i="1" s="1"/>
  <c r="A79" i="1" l="1"/>
  <c r="D78" i="1"/>
  <c r="B78" i="1"/>
  <c r="C78" i="1" s="1"/>
  <c r="A80" i="1" l="1"/>
  <c r="D79" i="1"/>
  <c r="B79" i="1"/>
  <c r="C79" i="1" s="1"/>
  <c r="A81" i="1" l="1"/>
  <c r="B80" i="1"/>
  <c r="D80" i="1"/>
  <c r="C80" i="1" l="1"/>
  <c r="A82" i="1"/>
  <c r="B81" i="1"/>
  <c r="D81" i="1"/>
  <c r="C81" i="1" l="1"/>
  <c r="A83" i="1"/>
  <c r="D82" i="1"/>
  <c r="B82" i="1"/>
  <c r="C82" i="1" s="1"/>
  <c r="A84" i="1" l="1"/>
  <c r="B83" i="1"/>
  <c r="D83" i="1"/>
  <c r="A85" i="1" l="1"/>
  <c r="D84" i="1"/>
  <c r="B84" i="1"/>
  <c r="C84" i="1" s="1"/>
  <c r="C83" i="1"/>
  <c r="A86" i="1" l="1"/>
  <c r="D85" i="1"/>
  <c r="B85" i="1"/>
  <c r="C85" i="1" s="1"/>
  <c r="A87" i="1" l="1"/>
  <c r="D86" i="1"/>
  <c r="B86" i="1"/>
  <c r="C86" i="1" s="1"/>
  <c r="A88" i="1" l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s="1"/>
  <c r="A94" i="1" l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s="1"/>
  <c r="A99" i="1" l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s="1"/>
  <c r="A104" i="1" l="1"/>
  <c r="B103" i="1"/>
  <c r="D103" i="1"/>
  <c r="C103" i="1" l="1"/>
  <c r="A105" i="1"/>
  <c r="B104" i="1"/>
  <c r="D104" i="1"/>
  <c r="C104" i="1" l="1"/>
  <c r="A106" i="1"/>
  <c r="D105" i="1"/>
  <c r="B105" i="1"/>
  <c r="C105" i="1" s="1"/>
  <c r="A107" i="1" l="1"/>
  <c r="D106" i="1"/>
  <c r="B106" i="1"/>
  <c r="C106" i="1" s="1"/>
  <c r="A108" i="1" l="1"/>
  <c r="D107" i="1"/>
  <c r="B107" i="1"/>
  <c r="C107" i="1" l="1"/>
  <c r="A109" i="1"/>
  <c r="D108" i="1"/>
  <c r="B108" i="1"/>
  <c r="C108" i="1" s="1"/>
  <c r="A110" i="1" l="1"/>
  <c r="D109" i="1"/>
  <c r="B109" i="1"/>
  <c r="C109" i="1" s="1"/>
  <c r="A111" i="1" l="1"/>
  <c r="D110" i="1"/>
  <c r="B110" i="1"/>
  <c r="C110" i="1" l="1"/>
  <c r="A112" i="1"/>
  <c r="D111" i="1"/>
  <c r="B111" i="1"/>
  <c r="C111" i="1" s="1"/>
  <c r="A113" i="1" l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s="1"/>
  <c r="A119" i="1" l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s="1"/>
  <c r="A123" i="1" l="1"/>
  <c r="D122" i="1"/>
  <c r="B122" i="1"/>
  <c r="C122" i="1" s="1"/>
  <c r="A124" i="1" l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6" i="1" s="1"/>
  <c r="C125" i="1"/>
  <c r="A128" i="1" l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s="1"/>
  <c r="A133" i="1" l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s="1"/>
  <c r="A137" i="1" l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s="1"/>
  <c r="A141" i="1" l="1"/>
  <c r="B140" i="1"/>
  <c r="D140" i="1"/>
  <c r="C140" i="1" l="1"/>
  <c r="A142" i="1"/>
  <c r="D141" i="1"/>
  <c r="B141" i="1"/>
  <c r="C141" i="1" s="1"/>
  <c r="A143" i="1" l="1"/>
  <c r="D142" i="1"/>
  <c r="B142" i="1"/>
  <c r="C142" i="1" s="1"/>
  <c r="A144" i="1" l="1"/>
  <c r="B143" i="1"/>
  <c r="D143" i="1"/>
  <c r="C143" i="1" l="1"/>
  <c r="A145" i="1"/>
  <c r="B144" i="1"/>
  <c r="D144" i="1"/>
  <c r="C144" i="1" l="1"/>
  <c r="A146" i="1"/>
  <c r="D145" i="1"/>
  <c r="B145" i="1"/>
  <c r="C145" i="1" s="1"/>
  <c r="A147" i="1" l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s="1"/>
  <c r="A151" i="1" l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s="1"/>
  <c r="A164" i="1" l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s="1"/>
  <c r="A180" i="1" l="1"/>
  <c r="D179" i="1"/>
  <c r="B179" i="1"/>
  <c r="C179" i="1" l="1"/>
  <c r="A181" i="1"/>
  <c r="D180" i="1"/>
  <c r="B180" i="1"/>
  <c r="C180" i="1" s="1"/>
  <c r="A182" i="1" l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s="1"/>
  <c r="A186" i="1" l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s="1"/>
  <c r="A193" i="1" l="1"/>
  <c r="D192" i="1"/>
  <c r="B192" i="1"/>
  <c r="C192" i="1" l="1"/>
  <c r="A194" i="1"/>
  <c r="B193" i="1"/>
  <c r="D193" i="1"/>
  <c r="C193" i="1" l="1"/>
  <c r="A195" i="1"/>
  <c r="D194" i="1"/>
  <c r="B194" i="1"/>
  <c r="C194" i="1" s="1"/>
  <c r="A196" i="1" l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s="1"/>
  <c r="A201" i="1" l="1"/>
  <c r="D200" i="1"/>
  <c r="B200" i="1"/>
  <c r="C200" i="1" s="1"/>
  <c r="A202" i="1" l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s="1"/>
  <c r="A207" i="1" l="1"/>
  <c r="D206" i="1"/>
  <c r="B206" i="1"/>
  <c r="C206" i="1" l="1"/>
  <c r="A208" i="1"/>
  <c r="D207" i="1"/>
  <c r="B207" i="1"/>
  <c r="C207" i="1" s="1"/>
  <c r="A209" i="1" l="1"/>
  <c r="B208" i="1"/>
  <c r="D208" i="1"/>
  <c r="C208" i="1" l="1"/>
  <c r="A210" i="1"/>
  <c r="D209" i="1"/>
  <c r="B209" i="1"/>
  <c r="C209" i="1" l="1"/>
  <c r="A211" i="1"/>
  <c r="D210" i="1"/>
  <c r="B210" i="1"/>
  <c r="C210" i="1" s="1"/>
  <c r="A212" i="1" l="1"/>
  <c r="D211" i="1"/>
  <c r="B211" i="1"/>
  <c r="C211" i="1" l="1"/>
  <c r="A213" i="1"/>
  <c r="D212" i="1"/>
  <c r="B212" i="1"/>
  <c r="C212" i="1" l="1"/>
  <c r="A214" i="1"/>
  <c r="D213" i="1"/>
  <c r="B213" i="1"/>
  <c r="C213" i="1" s="1"/>
  <c r="A215" i="1" l="1"/>
  <c r="D214" i="1"/>
  <c r="B214" i="1"/>
  <c r="C214" i="1" l="1"/>
  <c r="A216" i="1"/>
  <c r="B215" i="1"/>
  <c r="D215" i="1"/>
  <c r="C215" i="1" l="1"/>
  <c r="A217" i="1"/>
  <c r="D216" i="1"/>
  <c r="B216" i="1"/>
  <c r="C216" i="1" s="1"/>
  <c r="A218" i="1" l="1"/>
  <c r="B217" i="1"/>
  <c r="D217" i="1"/>
  <c r="C217" i="1" l="1"/>
  <c r="A219" i="1"/>
  <c r="D218" i="1"/>
  <c r="B218" i="1"/>
  <c r="C218" i="1" s="1"/>
  <c r="A220" i="1" l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<sst xmlns="http://schemas.openxmlformats.org/spreadsheetml/2006/main" count="20" uniqueCount="20">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</sst>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0.24812990764064763</c:v>
                </c:pt>
                <c:pt idx="2">
                  <c:v>0.48854703307383057</c:v>
                </c:pt>
                <c:pt idx="3">
                  <c:v>0.71994167737086157</c:v>
                </c:pt>
                <c:pt idx="4">
                  <c:v>0.94109301407529466</c:v>
                </c:pt>
                <c:pt idx="5">
                  <c:v>1.1508745051010629</c:v>
                </c:pt>
                <c:pt idx="6">
                  <c:v>1.3482585933230726</c:v>
                </c:pt>
                <c:pt idx="7">
                  <c:v>1.5323206605238593</c:v>
                </c:pt>
                <c:pt idx="8">
                  <c:v>1.7022422442289682</c:v>
                </c:pt>
                <c:pt idx="9">
                  <c:v>1.8573135117522117</c:v>
                </c:pt>
                <c:pt idx="10">
                  <c:v>1.9969349944519887</c:v>
                </c:pt>
                <c:pt idx="11">
                  <c:v>2.1206185897449004</c:v>
                </c:pt>
                <c:pt idx="12">
                  <c:v>2.2279878428079098</c:v>
                </c:pt>
                <c:pt idx="13">
                  <c:v>2.3187775241019195</c:v>
                </c:pt>
                <c:pt idx="14">
                  <c:v>2.3928325228461129</c:v>
                </c:pt>
                <c:pt idx="15">
                  <c:v>2.4501060803439492</c:v>
                </c:pt>
                <c:pt idx="16">
                  <c:v>2.490657390590298</c:v>
                </c:pt>
                <c:pt idx="17">
                  <c:v>2.5146485988588738</c:v>
                </c:pt>
                <c:pt idx="18">
                  <c:v>2.5223412319658718</c:v>
                </c:pt>
                <c:pt idx="19">
                  <c:v>2.5140920966176199</c:v>
                </c:pt>
                <c:pt idx="20">
                  <c:v>2.490348684667266</c:v>
                </c:pt>
                <c:pt idx="21">
                  <c:v>2.4516441262202009</c:v>
                </c:pt>
                <c:pt idx="22">
                  <c:v>2.3985917333344902</c:v>
                </c:pt>
                <c:pt idx="23">
                  <c:v>2.3318791785572954</c:v>
                </c:pt>
                <c:pt idx="24">
                  <c:v>2.2522623537196402</c:v>
                </c:pt>
                <c:pt idx="25">
                  <c:v>2.1605589552802034</c:v>
                </c:pt>
                <c:pt idx="26">
                  <c:v>2.0576418430666017</c:v>
                </c:pt>
                <c:pt idx="27">
                  <c:v>1.9444322195139172</c:v>
                </c:pt>
                <c:pt idx="28">
                  <c:v>1.82189267645124</c:v>
                </c:pt>
                <c:pt idx="29">
                  <c:v>1.6910201561453617</c:v>
                </c:pt>
                <c:pt idx="30">
                  <c:v>1.5528388726859732</c:v>
                </c:pt>
                <c:pt idx="31">
                  <c:v>1.4083932388996687</c:v>
                </c:pt>
                <c:pt idx="32">
                  <c:v>1.2587408428231042</c:v>
                </c:pt>
                <c:pt idx="33">
                  <c:v>1.1049455163625304</c:v>
                </c:pt>
                <c:pt idx="34">
                  <c:v>0.94807053713242095</c:v>
                </c:pt>
                <c:pt idx="35">
                  <c:v>0.78917200261607778</c:v>
                </c:pt>
                <c:pt idx="36">
                  <c:v>0.62929241374273415</c:v>
                </c:pt>
                <c:pt idx="37">
                  <c:v>0.46945450274661404</c:v>
                </c:pt>
                <c:pt idx="38">
                  <c:v>0.31065533778193433</c:v>
                </c:pt>
                <c:pt idx="39">
                  <c:v>0.15386073423303584</c:v>
                </c:pt>
                <c:pt idx="40">
                  <c:v>4.5371001594559166E-15</c:v>
                </c:pt>
                <c:pt idx="41">
                  <c:v>-0.15003896072296485</c:v>
                </c:pt>
                <c:pt idx="42">
                  <c:v>-0.29541416350682054</c:v>
                </c:pt>
                <c:pt idx="43">
                  <c:v>-0.43533366082702329</c:v>
                </c:pt>
                <c:pt idx="44">
                  <c:v>-0.56905924448251333</c:v>
                </c:pt>
                <c:pt idx="45">
                  <c:v>-0.69590972047594024</c:v>
                </c:pt>
                <c:pt idx="46">
                  <c:v>-0.81526374652495437</c:v>
                </c:pt>
                <c:pt idx="47">
                  <c:v>-0.92656222534969468</c:v>
                </c:pt>
                <c:pt idx="48">
                  <c:v>-1.0293102498258018</c:v>
                </c:pt>
                <c:pt idx="49">
                  <c:v>-1.1230785989877941</c:v>
                </c:pt>
                <c:pt idx="50">
                  <c:v>-1.2075047866975539</c:v>
                </c:pt>
                <c:pt idx="51">
                  <c:v>-1.2822936675409888</c:v>
                </c:pt>
                <c:pt idx="52">
                  <c:v>-1.3472176071674282</c:v>
                </c:pt>
                <c:pt idx="53">
                  <c:v>-1.402116226826978</c:v>
                </c:pt>
                <c:pt idx="54">
                  <c:v>-1.4468957342776123</c:v>
                </c:pt>
                <c:pt idx="55">
                  <c:v>-1.4815278555143949</c:v>
                </c:pt>
                <c:pt idx="56">
                  <c:v>-1.5060483839068393</c:v>
                </c:pt>
                <c:pt idx="57">
                  <c:v>-1.5205553653075607</c:v>
                </c:pt>
                <c:pt idx="58">
                  <c:v>-1.5252069395074295</c:v>
                </c:pt>
                <c:pt idx="59">
                  <c:v>-1.520218860052263</c:v>
                </c:pt>
                <c:pt idx="60">
                  <c:v>-1.5058617158977277</c:v>
                </c:pt>
                <c:pt idx="61">
                  <c:v>-1.4824578796578454</c:v>
                </c:pt>
                <c:pt idx="62">
                  <c:v>-1.4503782082948646</c:v>
                </c:pt>
                <c:pt idx="63">
                  <c:v>-1.4100385230021089</c:v>
                </c:pt>
                <c:pt idx="64">
                  <c:v>-1.3618958957457259</c:v>
                </c:pt>
                <c:pt idx="65">
                  <c:v>-1.3064447704563722</c:v>
                </c:pt>
                <c:pt idx="66">
                  <c:v>-1.2442129471990926</c:v>
                </c:pt>
                <c:pt idx="67">
                  <c:v>-1.1757574578016476</c:v>
                </c:pt>
                <c:pt idx="68">
                  <c:v>-1.1016603613918976</c:v>
                </c:pt>
                <c:pt idx="69">
                  <c:v>-1.0225244880882751</c:v>
                </c:pt>
                <c:pt idx="70">
                  <c:v>-0.93896915870960829</c:v>
                </c:pt>
                <c:pt idx="71">
                  <c:v>-0.85162590782807968</c:v>
                </c:pt>
                <c:pt idx="72">
                  <c:v>-0.76113423678958358</c:v>
                </c:pt>
                <c:pt idx="73">
                  <c:v>-0.6681374224772485</c:v>
                </c:pt>
                <c:pt idx="74">
                  <c:v>-0.57327840660556673</c:v>
                </c:pt>
                <c:pt idx="75">
                  <c:v>-0.47719578921402495</c:v>
                </c:pt>
                <c:pt idx="76">
                  <c:v>-0.380519948790497</c:v>
                </c:pt>
                <c:pt idx="77">
                  <c:v>-0.28386931010682781</c:v>
                </c:pt>
                <c:pt idx="78">
                  <c:v>-0.18784677940294467</c:v>
                </c:pt>
                <c:pt idx="79">
                  <c:v>-9.303636502308249E-2</c:v>
                </c:pt>
                <c:pt idx="80">
                  <c:v>-7.5670481131824646E-15</c:v>
                </c:pt>
                <c:pt idx="81">
                  <c:v>9.0725418587706691E-2</c:v>
                </c:pt>
                <c:pt idx="82">
                  <c:v>0.17863076038217424</c:v>
                </c:pt>
                <c:pt idx="83">
                  <c:v>0.26323715129417558</c:v>
                </c:pt>
                <c:pt idx="84">
                  <c:v>0.34409821227840759</c:v>
                </c:pt>
                <c:pt idx="85">
                  <c:v>0.4208020395849959</c:v>
                </c:pt>
                <c:pt idx="86">
                  <c:v>0.49297292054317104</c:v>
                </c:pt>
                <c:pt idx="87">
                  <c:v>0.56027278073211628</c:v>
                </c:pt>
                <c:pt idx="88">
                  <c:v>0.62240236017426864</c:v>
                </c:pt>
                <c:pt idx="89">
                  <c:v>0.6791021179372424</c:v>
                </c:pt>
                <c:pt idx="90">
                  <c:v>0.73015286624171571</c:v>
                </c:pt>
                <c:pt idx="91">
                  <c:v>0.77537613683444895</c:v>
                </c:pt>
                <c:pt idx="92">
                  <c:v>0.81463428398896043</c:v>
                </c:pt>
                <c:pt idx="93">
                  <c:v>0.84783033003260622</c:v>
                </c:pt>
                <c:pt idx="94">
                  <c:v>0.87490756076010867</c:v>
                </c:pt>
                <c:pt idx="95">
                  <c:v>0.89584887947257985</c:v>
                </c:pt>
                <c:pt idx="96">
                  <c:v>0.91067592967125466</c:v>
                </c:pt>
                <c:pt idx="97">
                  <c:v>0.91944799763068841</c:v>
                </c:pt>
                <c:pt idx="98">
                  <c:v>0.92226070717187358</c:v>
                </c:pt>
                <c:pt idx="99">
                  <c:v>0.91924451994731482</c:v>
                </c:pt>
                <c:pt idx="100">
                  <c:v>0.91056305543391181</c:v>
                </c:pt>
                <c:pt idx="101">
                  <c:v>0.89641124560271646</c:v>
                </c:pt>
                <c:pt idx="102">
                  <c:v>0.87701333989516839</c:v>
                </c:pt>
                <c:pt idx="103">
                  <c:v>0.85262077668194158</c:v>
                </c:pt>
                <c:pt idx="104">
                  <c:v>0.82350993781248116</c:v>
                </c:pt>
                <c:pt idx="105">
                  <c:v>0.78997980318081495</c:v>
                </c:pt>
                <c:pt idx="106">
                  <c:v>0.75234952243714859</c:v>
                </c:pt>
                <c:pt idx="107">
                  <c:v>0.71095592106665328</c:v>
                </c:pt>
                <c:pt idx="108">
                  <c:v>0.66615095803894198</c:v>
                </c:pt>
                <c:pt idx="109">
                  <c:v>0.61829915210680331</c:v>
                </c:pt>
                <c:pt idx="110">
                  <c:v>0.56777499360432782</c:v>
                </c:pt>
                <c:pt idx="111">
                  <c:v>0.5149603582665786</c:v>
                </c:pt>
                <c:pt idx="112">
                  <c:v>0.4602419391699023</c:v>
                </c:pt>
                <c:pt idx="113">
                  <c:v>0.40400871237896924</c:v>
                </c:pt>
                <c:pt idx="114">
                  <c:v>0.34664945128899644</c:v>
                </c:pt>
                <c:pt idx="115">
                  <c:v>0.28855030397521175</c:v>
                </c:pt>
                <c:pt idx="116">
                  <c:v>0.23009244711269858</c:v>
                </c:pt>
                <c:pt idx="117">
                  <c:v>0.17164982921469643</c:v>
                </c:pt>
                <c:pt idx="118">
                  <c:v>0.11358701506306579</c:v>
                </c:pt>
                <c:pt idx="119">
                  <c:v>5.6257142277758243E-2</c:v>
                </c:pt>
                <c:pt idx="120">
                  <c:v>7.8067840739283477E-15</c:v>
                </c:pt>
                <c:pt idx="121">
                  <c:v>-5.4859761346339714E-2</c:v>
                </c:pt>
                <c:pt idx="122">
                  <c:v>-0.10801428129215869</c:v>
                </c:pt>
                <c:pt idx="123">
                  <c:v>-0.15917399470059837</c:v>
                </c:pt>
                <c:pt idx="124">
                  <c:v>-0.20806898550759736</c:v>
                </c:pt>
                <c:pt idx="125">
                  <c:v>-0.25445018413852405</c:v>
                </c:pt>
                <c:pt idx="126">
                  <c:v>-0.29809040500665152</c:v>
                </c:pt>
                <c:pt idx="127">
                  <c:v>-0.33878522158706303</c:v>
                </c:pt>
                <c:pt idx="128">
                  <c:v>-0.37635367763612615</c:v>
                </c:pt>
                <c:pt idx="129">
                  <c:v>-0.41063883418533614</c:v>
                </c:pt>
                <c:pt idx="130">
                  <c:v>-0.44150815297308199</c:v>
                </c:pt>
                <c:pt idx="131">
                  <c:v>-0.46885371798273895</c:v>
                </c:pt>
                <c:pt idx="132">
                  <c:v>-0.49259229772501961</c:v>
                </c:pt>
                <c:pt idx="133">
                  <c:v>-0.51266525183143774</c:v>
                </c:pt>
                <c:pt idx="134">
                  <c:v>-0.52903828640933448</c:v>
                </c:pt>
                <c:pt idx="135">
                  <c:v>-0.54170106344279889</c:v>
                </c:pt>
                <c:pt idx="136">
                  <c:v>-0.5506666703039369</c:v>
                </c:pt>
                <c:pt idx="137">
                  <c:v>-0.55597095616185466</c:v>
                </c:pt>
                <c:pt idx="138">
                  <c:v>-0.5576717427392881</c:v>
                </c:pt>
                <c:pt idx="139">
                  <c:v>-0.55584791746638307</c:v>
                </c:pt>
                <c:pt idx="140">
                  <c:v>-0.55059841761556017</c:v>
                </c:pt>
                <c:pt idx="141">
                  <c:v>-0.54204111446894931</c:v>
                </c:pt>
                <c:pt idx="142">
                  <c:v>-0.53031160696928248</c:v>
                </c:pt>
                <c:pt idx="143">
                  <c:v>-0.51556193463561828</c:v>
                </c:pt>
                <c:pt idx="144">
                  <c:v>-0.49795921978645469</c:v>
                </c:pt>
                <c:pt idx="145">
                  <c:v>-0.47768424930477393</c:v>
                </c:pt>
                <c:pt idx="146">
                  <c:v>-0.45493000630287783</c:v>
                </c:pt>
                <c:pt idx="147">
                  <c:v>-0.42990016210044285</c:v>
                </c:pt>
                <c:pt idx="148">
                  <c:v>-0.40280753891837767</c:v>
                </c:pt>
                <c:pt idx="149">
                  <c:v>-0.37387255361554472</c:v>
                </c:pt>
                <c:pt idx="150">
                  <c:v>-0.34332165265727532</c:v>
                </c:pt>
                <c:pt idx="151">
                  <c:v>-0.3113857483062587</c:v>
                </c:pt>
                <c:pt idx="152">
                  <c:v>-0.27829866577060869</c:v>
                </c:pt>
                <c:pt idx="153">
                  <c:v>-0.24429561073368944</c:v>
                </c:pt>
                <c:pt idx="154">
                  <c:v>-0.20961166632888784</c:v>
                </c:pt>
                <c:pt idx="155">
                  <c:v>-0.17448032821355081</c:v>
                </c:pt>
                <c:pt idx="156">
                  <c:v>-0.13913208594343221</c:v>
                </c:pt>
                <c:pt idx="157">
                  <c:v>-0.10379305835613703</c:v>
                </c:pt>
                <c:pt idx="158">
                  <c:v>-6.8683690143345758E-2</c:v>
                </c:pt>
                <c:pt idx="159">
                  <c:v>-3.4017516231149923E-2</c:v>
                </c:pt>
                <c:pt idx="160">
                  <c:v>-6.2941318665339156E-15</c:v>
                </c:pt>
                <c:pt idx="161">
                  <c:v>3.3172549235116797E-2</c:v>
                </c:pt>
                <c:pt idx="162">
                  <c:v>6.5313974693386498E-2</c:v>
                </c:pt>
                <c:pt idx="163">
                  <c:v>9.6249182398391975E-2</c:v>
                </c:pt>
                <c:pt idx="164">
                  <c:v>0.12581495975670079</c:v>
                </c:pt>
                <c:pt idx="165">
                  <c:v>0.15386069961063381</c:v>
                </c:pt>
                <c:pt idx="166">
                  <c:v>0.18024902759186778</c:v>
                </c:pt>
                <c:pt idx="167">
                  <c:v>0.204856331260313</c:v>
                </c:pt>
                <c:pt idx="168">
                  <c:v>0.22757319016363947</c:v>
                </c:pt>
                <c:pt idx="169">
                  <c:v>0.24830470659300052</c:v>
                </c:pt>
                <c:pt idx="170">
                  <c:v>0.26697073743619509</c:v>
                </c:pt>
                <c:pt idx="171">
                  <c:v>0.28350602813711834</c:v>
                </c:pt>
                <c:pt idx="172">
                  <c:v>0.29786025035659147</c:v>
                </c:pt>
                <c:pt idx="173">
                  <c:v>0.30999794549138587</c:v>
                </c:pt>
                <c:pt idx="174">
                  <c:v>0.31989837674252941</c:v>
                </c:pt>
                <c:pt idx="175">
                  <c:v>0.32755529292822078</c:v>
                </c:pt>
                <c:pt idx="176">
                  <c:v>0.33297660770839665</c:v>
                </c:pt>
                <c:pt idx="177">
                  <c:v>0.33618399832513807</c:v>
                </c:pt>
                <c:pt idx="178">
                  <c:v>0.33721242836372622</c:v>
                </c:pt>
                <c:pt idx="179">
                  <c:v>0.33610959940171625</c:v>
                </c:pt>
                <c:pt idx="180">
                  <c:v>0.33293533673655828</c:v>
                </c:pt>
                <c:pt idx="181">
                  <c:v>0.32776091466500246</c:v>
                </c:pt>
                <c:pt idx="182">
                  <c:v>0.32066832702904924</c:v>
                </c:pt>
                <c:pt idx="183">
                  <c:v>0.31174950894303183</c:v>
                </c:pt>
                <c:pt idx="184">
                  <c:v>0.3011055157743559</c:v>
                </c:pt>
                <c:pt idx="185">
                  <c:v>0.28884566556651287</c:v>
                </c:pt>
                <c:pt idx="186">
                  <c:v>0.27508665116754438</c:v>
                </c:pt>
                <c:pt idx="187">
                  <c:v>0.25995162836074148</c:v>
                </c:pt>
                <c:pt idx="188">
                  <c:v>0.24356928628780117</c:v>
                </c:pt>
                <c:pt idx="189">
                  <c:v>0.22607290640900479</c:v>
                </c:pt>
                <c:pt idx="190">
                  <c:v>0.20759941616143862</c:v>
                </c:pt>
                <c:pt idx="191">
                  <c:v>0.1882884433563618</c:v>
                </c:pt>
                <c:pt idx="192">
                  <c:v>0.16828137720215353</c:v>
                </c:pt>
                <c:pt idx="193">
                  <c:v>0.1477204416516765</c:v>
                </c:pt>
                <c:pt idx="194">
                  <c:v>0.12674778655438626</c:v>
                </c:pt>
                <c:pt idx="195">
                  <c:v>0.1055046018462124</c:v>
                </c:pt>
                <c:pt idx="196">
                  <c:v>8.4130259736380428E-2</c:v>
                </c:pt>
                <c:pt idx="197">
                  <c:v>6.2761489552348337E-2</c:v>
                </c:pt>
                <c:pt idx="198">
                  <c:v>4.1531589584318733E-2</c:v>
                </c:pt>
                <c:pt idx="199">
                  <c:v>2.0569679931895162E-2</c:v>
                </c:pt>
                <c:pt idx="200">
                  <c:v>5.2173007435160908E-15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9.7205168162532267</c:v>
                </c:pt>
                <c:pt idx="2">
                  <c:v>9.3872762664404181</c:v>
                </c:pt>
                <c:pt idx="3">
                  <c:v>9.0036945504801658</c:v>
                </c:pt>
                <c:pt idx="4">
                  <c:v>8.5734173667223139</c:v>
                </c:pt>
                <c:pt idx="5">
                  <c:v>8.100291445934408</c:v>
                </c:pt>
                <c:pt idx="6">
                  <c:v>7.5883355370190557</c:v>
                </c:pt>
                <c:pt idx="7">
                  <c:v>7.041711039259603</c:v>
                </c:pt>
                <c:pt idx="8">
                  <c:v>6.4646924732602535</c:v>
                </c:pt>
                <c:pt idx="9">
                  <c:v>5.861637978980653</c:v>
                </c:pt>
                <c:pt idx="10">
                  <c:v>5.2369600244161987</c:v>
                </c:pt>
                <c:pt idx="11">
                  <c:v>4.5950965026006063</c:v>
                </c:pt>
                <c:pt idx="12">
                  <c:v>3.9404823877691149</c:v>
                </c:pt>
                <c:pt idx="13">
                  <c:v>3.2775221137855217</c:v>
                </c:pt>
                <c:pt idx="14">
                  <c:v>2.6105628293747793</c:v>
                </c:pt>
                <c:pt idx="15">
                  <c:v>1.9438686753889707</c:v>
                </c:pt>
                <c:pt idx="16">
                  <c:v>1.2815962193451043</c:v>
                </c:pt>
                <c:pt idx="17">
                  <c:v>0.6277711718873995</c:v>
                </c:pt>
                <c:pt idx="18">
                  <c:v>-1.3733501274490578E-2</c:v>
                </c:pt>
                <c:pt idx="19">
                  <c:v>-0.63921796993435898</c:v>
                </c:pt>
                <c:pt idx="20">
                  <c:v>-1.2451743423336303</c:v>
                </c:pt>
                <c:pt idx="21">
                  <c:v>-1.8283038025016047</c:v>
                </c:pt>
                <c:pt idx="22">
                  <c:v>-2.3855320163504121</c:v>
                </c:pt>
                <c:pt idx="23">
                  <c:v>-2.914022753324371</c:v>
                </c:pt>
                <c:pt idx="24">
                  <c:v>-3.4111896828679775</c:v>
                </c:pt>
                <c:pt idx="25">
                  <c:v>-3.8747063173857299</c:v>
                </c:pt>
                <c:pt idx="26">
                  <c:v>-4.3025140856449102</c:v>
                </c:pt>
                <c:pt idx="27">
                  <c:v>-4.6928285326454198</c:v>
                </c:pt>
                <c:pt idx="28">
                  <c:v>-5.0441436537787663</c:v>
                </c:pt>
                <c:pt idx="29">
                  <c:v>-5.3552343825543609</c:v>
                </c:pt>
                <c:pt idx="30">
                  <c:v>-5.6251572622225368</c:v>
                </c:pt>
                <c:pt idx="31">
                  <c:v>-5.8532493422106899</c:v>
                </c:pt>
                <c:pt idx="32">
                  <c:v>-6.0391253503581019</c:v>
                </c:pt>
                <c:pt idx="33">
                  <c:v>-6.1826732014349162</c:v>
                </c:pt>
                <c:pt idx="34">
                  <c:v>-6.2840479113176126</c:v>
                </c:pt>
                <c:pt idx="35">
                  <c:v>-6.3436639944258637</c:v>
                </c:pt>
                <c:pt idx="36">
                  <c:v>-6.362186429569384</c:v>
                </c:pt>
                <c:pt idx="37">
                  <c:v>-6.3405202861776715</c:v>
                </c:pt>
                <c:pt idx="38">
                  <c:v>-6.2797991089664809</c:v>
                </c:pt>
                <c:pt idx="39">
                  <c:v>-6.1813721644119752</c:v>
                </c:pt>
                <c:pt idx="40">
                  <c:v>-6.0467906569433882</c:v>
                </c:pt>
                <c:pt idx="41">
                  <c:v>-5.8777930265181109</c:v>
                </c:pt>
                <c:pt idx="42">
                  <c:v>-5.6762894422058352</c:v>
                </c:pt>
                <c:pt idx="43">
                  <c:v>-5.4443456085815587</c:v>
                </c:pt>
                <c:pt idx="44">
                  <c:v>-5.1841660031172712</c:v>
                </c:pt>
                <c:pt idx="45">
                  <c:v>-4.8980766633794719</c:v>
                </c:pt>
                <c:pt idx="46">
                  <c:v>-4.5885076426998381</c:v>
                </c:pt>
                <c:pt idx="47">
                  <c:v>-4.2579752521090182</c:v>
                </c:pt>
                <c:pt idx="48">
                  <c:v>-3.9090642047322461</c:v>
                </c:pt>
                <c:pt idx="49">
                  <c:v>-3.5444097765684877</c:v>
                </c:pt>
                <c:pt idx="50">
                  <c:v>-3.1666800946426026</c:v>
                </c:pt>
                <c:pt idx="51">
                  <c:v>-2.7785586599678727</c:v>
                </c:pt>
                <c:pt idx="52">
                  <c:v>-2.3827272086212457</c:v>
                </c:pt>
                <c:pt idx="53">
                  <c:v>-1.9818490095563792</c:v>
                </c:pt>
                <c:pt idx="54">
                  <c:v>-1.5785526926027291</c:v>
                </c:pt>
                <c:pt idx="55">
                  <c:v>-1.1754166944667155</c:v>
                </c:pt>
                <c:pt idx="56">
                  <c:v>-0.77495440451101238</c:v>
                </c:pt>
                <c:pt idx="57">
                  <c:v>-0.37960008568673409</c:v>
                </c:pt>
                <c:pt idx="58">
                  <c:v>8.3043607193467039E-3</c:v>
                </c:pt>
                <c:pt idx="59">
                  <c:v>0.38652172483492109</c:v>
                </c:pt>
                <c:pt idx="60">
                  <c:v>0.75293085794884185</c:v>
                </c:pt>
                <c:pt idx="61">
                  <c:v>1.1055370351020617</c:v>
                </c:pt>
                <c:pt idx="62">
                  <c:v>1.4424812708306831</c:v>
                </c:pt>
                <c:pt idx="63">
                  <c:v>1.762048555892207</c:v>
                </c:pt>
                <c:pt idx="64">
                  <c:v>2.0626749903427601</c:v>
                </c:pt>
                <c:pt idx="65">
                  <c:v>2.3429537958367401</c:v>
                </c:pt>
                <c:pt idx="66">
                  <c:v>2.6016401974444801</c:v>
                </c:pt>
                <c:pt idx="67">
                  <c:v>2.8376551725837533</c:v>
                </c:pt>
                <c:pt idx="68">
                  <c:v>3.0500880717949563</c:v>
                </c:pt>
                <c:pt idx="69">
                  <c:v>3.2381981230171597</c:v>
                </c:pt>
                <c:pt idx="70">
                  <c:v>3.4014148377044364</c:v>
                </c:pt>
                <c:pt idx="71">
                  <c:v>3.539337343523953</c:v>
                </c:pt>
                <c:pt idx="72">
                  <c:v>3.6517326744655261</c:v>
                </c:pt>
                <c:pt idx="73">
                  <c:v>3.7385330549370837</c:v>
                </c:pt>
                <c:pt idx="74">
                  <c:v>3.7998322197939878</c:v>
                </c:pt>
                <c:pt idx="75">
                  <c:v>3.8358808172282446</c:v>
                </c:pt>
                <c:pt idx="76">
                  <c:v>3.847080946005212</c:v>
                </c:pt>
                <c:pt idx="77">
                  <c:v>3.8339798826619162</c:v>
                </c:pt>
                <c:pt idx="78">
                  <c:v>3.7972630579579931</c:v>
                </c:pt>
                <c:pt idx="79">
                  <c:v>3.7377463450856263</c:v>
                </c:pt>
                <c:pt idx="80">
                  <c:v>3.6563677248897859</c:v>
                </c:pt>
                <c:pt idx="81">
                  <c:v>3.5541783956196733</c:v>
                </c:pt>
                <c:pt idx="82">
                  <c:v>3.4323333965236671</c:v>
                </c:pt>
                <c:pt idx="83">
                  <c:v>3.2920818159141794</c:v>
                </c:pt>
                <c:pt idx="84">
                  <c:v>3.1347566551693147</c:v>
                </c:pt>
                <c:pt idx="85">
                  <c:v>2.9617644205115488</c:v>
                </c:pt>
                <c:pt idx="86">
                  <c:v>2.774574514319081</c:v>
                </c:pt>
                <c:pt idx="87">
                  <c:v>2.5747084971949086</c:v>
                </c:pt>
                <c:pt idx="88">
                  <c:v>2.3637292910566883</c:v>
                </c:pt>
                <c:pt idx="89">
                  <c:v>2.143230392133324</c:v>
                </c:pt>
                <c:pt idx="90">
                  <c:v>1.9148251609813602</c:v>
                </c:pt>
                <c:pt idx="91">
                  <c:v>1.6801362544862997</c:v>
                </c:pt>
                <c:pt idx="92">
                  <c:v>1.4407852623135859</c:v>
                </c:pt>
                <c:pt idx="93">
                  <c:v>1.1983826074458168</c:v>
                </c:pt>
                <c:pt idx="94">
                  <c:v>0.95451776731231419</c:v>
                </c:pt>
                <c:pt idx="95">
                  <c:v>0.71074986861167666</c:v>
                </c:pt>
                <c:pt idx="96">
                  <c:v>0.46859870527544523</c:v>
                </c:pt>
                <c:pt idx="97">
                  <c:v>0.22953622515055727</c:v>
                </c:pt>
                <c:pt idx="98">
                  <c:v>-5.0214730809532426E-3</c:v>
                </c:pt>
                <c:pt idx="99">
                  <c:v>-0.23372159544373083</c:v>
                </c:pt>
                <c:pt idx="100">
                  <c:v>-0.45528152771692909</c:v>
                </c:pt>
                <c:pt idx="101">
                  <c:v>-0.66849510147599212</c:v>
                </c:pt>
                <c:pt idx="102">
                  <c:v>-0.87223822712746824</c:v>
                </c:pt>
                <c:pt idx="103">
                  <c:v>-1.0654738744849475</c:v>
                </c:pt>
                <c:pt idx="104">
                  <c:v>-1.2472563859915287</c:v>
                </c:pt>
                <c:pt idx="105">
                  <c:v>-1.4167351122315548</c:v>
                </c:pt>
                <c:pt idx="106">
                  <c:v>-1.5731573638635528</c:v>
                </c:pt>
                <c:pt idx="107">
                  <c:v>-1.7158706785206412</c:v>
                </c:pt>
                <c:pt idx="108">
                  <c:v>-1.8443244055384156</c:v>
                </c:pt>
                <c:pt idx="109">
                  <c:v>-1.9580706155591692</c:v>
                </c:pt>
                <c:pt idx="110">
                  <c:v>-2.0567643461019731</c:v>
                </c:pt>
                <c:pt idx="111">
                  <c:v>-2.1401631980591436</c:v>
                </c:pt>
                <c:pt idx="112">
                  <c:v>-2.2081263017612969</c:v>
                </c:pt>
                <c:pt idx="113">
                  <c:v>-2.2606126747267545</c:v>
                </c:pt>
                <c:pt idx="114">
                  <c:v>-2.2976789964602702</c:v>
                </c:pt>
                <c:pt idx="115">
                  <c:v>-2.3194768286764091</c:v>
                </c:pt>
                <c:pt idx="116">
                  <c:v>-2.3262493120809236</c:v>
                </c:pt>
                <c:pt idx="117">
                  <c:v>-2.3183273733388976</c:v>
                </c:pt>
                <c:pt idx="118">
                  <c:v>-2.2961254780816684</c:v>
                </c:pt>
                <c:pt idx="119">
                  <c:v>-2.2601369677488066</c:v>
                </c:pt>
                <c:pt idx="120">
                  <c:v>-2.2109290197212914</c:v>
                </c:pt>
                <c:pt idx="121">
                  <c:v>-2.1491372715743111</c:v>
                </c:pt>
                <c:pt idx="122">
                  <c:v>-2.0754601513614102</c:v>
                </c:pt>
                <c:pt idx="123">
                  <c:v>-1.9906529566363123</c:v>
                </c:pt>
                <c:pt idx="124">
                  <c:v>-1.8955217254268959</c:v>
                </c:pt>
                <c:pt idx="125">
                  <c:v>-1.7909169426016636</c:v>
                </c:pt>
                <c:pt idx="126">
                  <c:v>-1.6777271250177908</c:v>
                </c:pt>
                <c:pt idx="127">
                  <c:v>-1.5568723285190966</c:v>
                </c:pt>
                <c:pt idx="128">
                  <c:v>-1.4292976192705051</c:v>
                </c:pt>
                <c:pt idx="129">
                  <c:v>-1.2959665510828948</c:v>
                </c:pt>
                <c:pt idx="130">
                  <c:v>-1.1578546893102271</c:v>
                </c:pt>
                <c:pt idx="131">
                  <c:v>-1.0159432206019687</c:v>
                </c:pt>
                <c:pt idx="132">
                  <c:v>-0.87121268628195914</c:v>
                </c:pt>
                <c:pt idx="133">
                  <c:v>-0.72463687541469035</c:v>
                </c:pt>
                <c:pt idx="134">
                  <c:v>-0.57717691172706154</c:v>
                </c:pt>
                <c:pt idx="135">
                  <c:v>-0.42977556649448978</c:v>
                </c:pt>
                <c:pt idx="136">
                  <c:v>-0.2833518272915434</c:v>
                </c:pt>
                <c:pt idx="137">
                  <c:v>-0.13879575016705203</c:v>
                </c:pt>
                <c:pt idx="138">
                  <c:v>3.0363796509895735E-3</c:v>
                </c:pt>
                <c:pt idx="139">
                  <c:v>0.14132655596549881</c:v>
                </c:pt>
                <c:pt idx="140">
                  <c:v>0.27529920880775904</c:v>
                </c:pt>
                <c:pt idx="141">
                  <c:v>0.40422499338173701</c:v>
                </c:pt>
                <c:pt idx="142">
                  <c:v>0.52742419624231651</c:v>
                </c:pt>
                <c:pt idx="143">
                  <c:v>0.6442697469452785</c:v>
                </c:pt>
                <c:pt idx="144">
                  <c:v>0.7541898261626514</c:v>
                </c:pt>
                <c:pt idx="145">
                  <c:v>0.85667006400053403</c:v>
                </c:pt>
                <c:pt idx="146">
                  <c:v>0.9512553249711786</c:v>
                </c:pt>
                <c:pt idx="147">
                  <c:v>1.0375510787401687</c:v>
                </c:pt>
                <c:pt idx="148">
                  <c:v>1.115224358378228</c:v>
                </c:pt>
                <c:pt idx="149">
                  <c:v>1.1840043103798532</c:v>
                </c:pt>
                <c:pt idx="150">
                  <c:v>1.2436823431543669</c:v>
                </c:pt>
                <c:pt idx="151">
                  <c:v>1.2941118830358054</c:v>
                </c:pt>
                <c:pt idx="152">
                  <c:v>1.3352077490841125</c:v>
                </c:pt>
                <c:pt idx="153">
                  <c:v>1.36694516005055</c:v>
                </c:pt>
                <c:pt idx="154">
                  <c:v>1.3893583888450998</c:v>
                </c:pt>
                <c:pt idx="155">
                  <c:v>1.4025390816637184</c:v>
                </c:pt>
                <c:pt idx="156">
                  <c:v>1.406634260601189</c:v>
                </c:pt>
                <c:pt idx="157">
                  <c:v>1.4018440300841757</c:v>
                </c:pt>
                <c:pt idx="158">
                  <c:v>1.388419008803389</c:v>
                </c:pt>
                <c:pt idx="159">
                  <c:v>1.3666575099995857</c:v>
                </c:pt>
                <c:pt idx="160">
                  <c:v>1.3369024939615723</c:v>
                </c:pt>
                <c:pt idx="161">
                  <c:v>1.2995383174244353</c:v>
                </c:pt>
                <c:pt idx="162">
                  <c:v>1.2549873052110492</c:v>
                </c:pt>
                <c:pt idx="163">
                  <c:v>1.2037061699405207</c:v>
                </c:pt>
                <c:pt idx="164">
                  <c:v>1.1461823059344578</c:v>
                </c:pt>
                <c:pt idx="165">
                  <c:v>1.0829299835885386</c:v>
                </c:pt>
                <c:pt idx="166">
                  <c:v>1.0144864704458083</c:v>
                </c:pt>
                <c:pt idx="167">
                  <c:v>0.94140810501430217</c:v>
                </c:pt>
                <c:pt idx="168">
                  <c:v>0.86426634901963695</c:v>
                </c:pt>
                <c:pt idx="169">
                  <c:v>0.78364384327992376</c:v>
                </c:pt>
                <c:pt idx="170">
                  <c:v>0.70013049174192332</c:v>
                </c:pt>
                <c:pt idx="171">
                  <c:v>0.6143195974321003</c:v>
                </c:pt>
                <c:pt idx="172">
                  <c:v>0.52680407316203315</c:v>
                </c:pt>
                <c:pt idx="173">
                  <c:v>0.43817274879342349</c:v>
                </c:pt>
                <c:pt idx="174">
                  <c:v>0.34900679572347038</c:v>
                </c:pt>
                <c:pt idx="175">
                  <c:v>0.25987628800614715</c:v>
                </c:pt>
                <c:pt idx="176">
                  <c:v>0.17133691818943753</c:v>
                </c:pt>
                <c:pt idx="177">
                  <c:v>8.3926884533363832E-2</c:v>
                </c:pt>
                <c:pt idx="178">
                  <c:v>-1.836035210450504E-3</c:v>
                </c:pt>
                <c:pt idx="179">
                  <c:v>-8.5457209819011837E-2</c:v>
                </c:pt>
                <c:pt idx="180">
                  <c:v>-0.16646766836825933</c:v>
                </c:pt>
                <c:pt idx="181">
                  <c:v>-0.24442639132836419</c:v>
                </c:pt>
                <c:pt idx="182">
                  <c:v>-0.31892237020838543</c:v>
                </c:pt>
                <c:pt idx="183">
                  <c:v>-0.38957642863799613</c:v>
                </c:pt>
                <c:pt idx="184">
                  <c:v>-0.45604279944020121</c:v>
                </c:pt>
                <c:pt idx="185">
                  <c:v>-0.5180104539081487</c:v>
                </c:pt>
                <c:pt idx="186">
                  <c:v>-0.57520418114033411</c:v>
                </c:pt>
                <c:pt idx="187">
                  <c:v>-0.6273854169027544</c:v>
                </c:pt>
                <c:pt idx="188">
                  <c:v>-0.67435282306371391</c:v>
                </c:pt>
                <c:pt idx="189">
                  <c:v>-0.71594262017855748</c:v>
                </c:pt>
                <c:pt idx="190">
                  <c:v>-0.7520286772791227</c:v>
                </c:pt>
                <c:pt idx="191">
                  <c:v>-0.78252236433803013</c:v>
                </c:pt>
                <c:pt idx="192">
                  <c:v>-0.80737217422402274</c:v>
                </c:pt>
                <c:pt idx="193">
                  <c:v>-0.82656312223476469</c:v>
                </c:pt>
                <c:pt idx="194">
                  <c:v>-0.84011593248144578</c:v>
                </c:pt>
                <c:pt idx="195">
                  <c:v>-0.84808602150020995</c:v>
                </c:pt>
                <c:pt idx="196">
                  <c:v>-0.8505622904739738</c:v>
                </c:pt>
                <c:pt idx="197">
                  <c:v>-0.84766573836048487</c:v>
                </c:pt>
                <c:pt idx="198">
                  <c:v>-0.83954790903549181</c:v>
                </c:pt>
                <c:pt idx="199">
                  <c:v>-0.8263891862707009</c:v>
                </c:pt>
                <c:pt idx="200">
                  <c:v>-0.8083969509731137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2.5152871581347912E-4</c:v>
                </c:pt>
                <c:pt idx="2">
                  <c:v>5.0305743162695825E-4</c:v>
                </c:pt>
                <c:pt idx="3">
                  <c:v>7.5458614744043737E-4</c:v>
                </c:pt>
                <c:pt idx="4">
                  <c:v>1.0061148632539165E-3</c:v>
                </c:pt>
                <c:pt idx="5">
                  <c:v>1.2576435790673957E-3</c:v>
                </c:pt>
                <c:pt idx="6">
                  <c:v>1.509172294880875E-3</c:v>
                </c:pt>
                <c:pt idx="7">
                  <c:v>1.7607010106943542E-3</c:v>
                </c:pt>
                <c:pt idx="8">
                  <c:v>2.0122297265078334E-3</c:v>
                </c:pt>
                <c:pt idx="9">
                  <c:v>2.2637584423213127E-3</c:v>
                </c:pt>
                <c:pt idx="10">
                  <c:v>2.5152871581347919E-3</c:v>
                </c:pt>
                <c:pt idx="11">
                  <c:v>2.7668158739482711E-3</c:v>
                </c:pt>
                <c:pt idx="12">
                  <c:v>3.0183445897617503E-3</c:v>
                </c:pt>
                <c:pt idx="13">
                  <c:v>3.2698733055752296E-3</c:v>
                </c:pt>
                <c:pt idx="14">
                  <c:v>3.5214020213887088E-3</c:v>
                </c:pt>
                <c:pt idx="15">
                  <c:v>3.772930737202188E-3</c:v>
                </c:pt>
                <c:pt idx="16">
                  <c:v>4.0244594530156668E-3</c:v>
                </c:pt>
                <c:pt idx="17">
                  <c:v>4.2759881688291456E-3</c:v>
                </c:pt>
                <c:pt idx="18">
                  <c:v>4.5275168846426244E-3</c:v>
                </c:pt>
                <c:pt idx="19">
                  <c:v>4.7790456004561032E-3</c:v>
                </c:pt>
                <c:pt idx="20">
                  <c:v>5.030574316269582E-3</c:v>
                </c:pt>
                <c:pt idx="21">
                  <c:v>5.2821030320830608E-3</c:v>
                </c:pt>
                <c:pt idx="22">
                  <c:v>5.5336317478965396E-3</c:v>
                </c:pt>
                <c:pt idx="23">
                  <c:v>5.7851604637100184E-3</c:v>
                </c:pt>
                <c:pt idx="24">
                  <c:v>6.0366891795234972E-3</c:v>
                </c:pt>
                <c:pt idx="25">
                  <c:v>6.288217895336976E-3</c:v>
                </c:pt>
                <c:pt idx="26">
                  <c:v>6.5397466111504548E-3</c:v>
                </c:pt>
                <c:pt idx="27">
                  <c:v>6.7912753269639336E-3</c:v>
                </c:pt>
                <c:pt idx="28">
                  <c:v>7.0428040427774124E-3</c:v>
                </c:pt>
                <c:pt idx="29">
                  <c:v>7.2943327585908912E-3</c:v>
                </c:pt>
                <c:pt idx="30">
                  <c:v>7.54586147440437E-3</c:v>
                </c:pt>
                <c:pt idx="31">
                  <c:v>7.7973901902178488E-3</c:v>
                </c:pt>
                <c:pt idx="32">
                  <c:v>8.0489189060313285E-3</c:v>
                </c:pt>
                <c:pt idx="33">
                  <c:v>8.3004476218448073E-3</c:v>
                </c:pt>
                <c:pt idx="34">
                  <c:v>8.5519763376582861E-3</c:v>
                </c:pt>
                <c:pt idx="35">
                  <c:v>8.8035050534717649E-3</c:v>
                </c:pt>
                <c:pt idx="36">
                  <c:v>9.0550337692852437E-3</c:v>
                </c:pt>
                <c:pt idx="37">
                  <c:v>9.3065624850987225E-3</c:v>
                </c:pt>
                <c:pt idx="38">
                  <c:v>9.5580912009122013E-3</c:v>
                </c:pt>
                <c:pt idx="39">
                  <c:v>9.8096199167256801E-3</c:v>
                </c:pt>
                <c:pt idx="40">
                  <c:v>1.0061148632539159E-2</c:v>
                </c:pt>
                <c:pt idx="41">
                  <c:v>1.0312677348352638E-2</c:v>
                </c:pt>
                <c:pt idx="42">
                  <c:v>1.0564206064166116E-2</c:v>
                </c:pt>
                <c:pt idx="43">
                  <c:v>1.0815734779979595E-2</c:v>
                </c:pt>
                <c:pt idx="44">
                  <c:v>1.1067263495793074E-2</c:v>
                </c:pt>
                <c:pt idx="45">
                  <c:v>1.1318792211606553E-2</c:v>
                </c:pt>
                <c:pt idx="46">
                  <c:v>1.1570320927420032E-2</c:v>
                </c:pt>
                <c:pt idx="47">
                  <c:v>1.182184964323351E-2</c:v>
                </c:pt>
                <c:pt idx="48">
                  <c:v>1.2073378359046989E-2</c:v>
                </c:pt>
                <c:pt idx="49">
                  <c:v>1.2324907074860468E-2</c:v>
                </c:pt>
                <c:pt idx="50">
                  <c:v>1.2576435790673947E-2</c:v>
                </c:pt>
                <c:pt idx="51">
                  <c:v>1.2827964506487426E-2</c:v>
                </c:pt>
                <c:pt idx="52">
                  <c:v>1.3079493222300904E-2</c:v>
                </c:pt>
                <c:pt idx="53">
                  <c:v>1.3331021938114383E-2</c:v>
                </c:pt>
                <c:pt idx="54">
                  <c:v>1.3582550653927862E-2</c:v>
                </c:pt>
                <c:pt idx="55">
                  <c:v>1.3834079369741341E-2</c:v>
                </c:pt>
                <c:pt idx="56">
                  <c:v>1.408560808555482E-2</c:v>
                </c:pt>
                <c:pt idx="57">
                  <c:v>1.4337136801368298E-2</c:v>
                </c:pt>
                <c:pt idx="58">
                  <c:v>1.4588665517181777E-2</c:v>
                </c:pt>
                <c:pt idx="59">
                  <c:v>1.4840194232995256E-2</c:v>
                </c:pt>
                <c:pt idx="60">
                  <c:v>1.5091722948808735E-2</c:v>
                </c:pt>
                <c:pt idx="61">
                  <c:v>1.5343251664622214E-2</c:v>
                </c:pt>
                <c:pt idx="62">
                  <c:v>1.5594780380435692E-2</c:v>
                </c:pt>
                <c:pt idx="63">
                  <c:v>1.5846309096249171E-2</c:v>
                </c:pt>
                <c:pt idx="64">
                  <c:v>1.609783781206265E-2</c:v>
                </c:pt>
                <c:pt idx="65">
                  <c:v>1.6349366527876129E-2</c:v>
                </c:pt>
                <c:pt idx="66">
                  <c:v>1.6600895243689608E-2</c:v>
                </c:pt>
                <c:pt idx="67">
                  <c:v>1.6852423959503086E-2</c:v>
                </c:pt>
                <c:pt idx="68">
                  <c:v>1.7103952675316565E-2</c:v>
                </c:pt>
                <c:pt idx="69">
                  <c:v>1.7355481391130044E-2</c:v>
                </c:pt>
                <c:pt idx="70">
                  <c:v>1.7607010106943523E-2</c:v>
                </c:pt>
                <c:pt idx="71">
                  <c:v>1.7858538822757002E-2</c:v>
                </c:pt>
                <c:pt idx="72">
                  <c:v>1.811006753857048E-2</c:v>
                </c:pt>
                <c:pt idx="73">
                  <c:v>1.8361596254383959E-2</c:v>
                </c:pt>
                <c:pt idx="74">
                  <c:v>1.8613124970197438E-2</c:v>
                </c:pt>
                <c:pt idx="75">
                  <c:v>1.8864653686010917E-2</c:v>
                </c:pt>
                <c:pt idx="76">
                  <c:v>1.9116182401824396E-2</c:v>
                </c:pt>
                <c:pt idx="77">
                  <c:v>1.9367711117637874E-2</c:v>
                </c:pt>
                <c:pt idx="78">
                  <c:v>1.9619239833451353E-2</c:v>
                </c:pt>
                <c:pt idx="79">
                  <c:v>1.9870768549264832E-2</c:v>
                </c:pt>
                <c:pt idx="80">
                  <c:v>2.0122297265078311E-2</c:v>
                </c:pt>
                <c:pt idx="81">
                  <c:v>2.037382598089179E-2</c:v>
                </c:pt>
                <c:pt idx="82">
                  <c:v>2.0625354696705268E-2</c:v>
                </c:pt>
                <c:pt idx="83">
                  <c:v>2.0876883412518747E-2</c:v>
                </c:pt>
                <c:pt idx="84">
                  <c:v>2.1128412128332226E-2</c:v>
                </c:pt>
                <c:pt idx="85">
                  <c:v>2.1379940844145705E-2</c:v>
                </c:pt>
                <c:pt idx="86">
                  <c:v>2.1631469559959184E-2</c:v>
                </c:pt>
                <c:pt idx="87">
                  <c:v>2.1882998275772662E-2</c:v>
                </c:pt>
                <c:pt idx="88">
                  <c:v>2.2134526991586141E-2</c:v>
                </c:pt>
                <c:pt idx="89">
                  <c:v>2.238605570739962E-2</c:v>
                </c:pt>
                <c:pt idx="90">
                  <c:v>2.2637584423213099E-2</c:v>
                </c:pt>
                <c:pt idx="91">
                  <c:v>2.2889113139026578E-2</c:v>
                </c:pt>
                <c:pt idx="92">
                  <c:v>2.3140641854840056E-2</c:v>
                </c:pt>
                <c:pt idx="93">
                  <c:v>2.3392170570653535E-2</c:v>
                </c:pt>
                <c:pt idx="94">
                  <c:v>2.3643699286467014E-2</c:v>
                </c:pt>
                <c:pt idx="95">
                  <c:v>2.3895228002280493E-2</c:v>
                </c:pt>
                <c:pt idx="96">
                  <c:v>2.4146756718093972E-2</c:v>
                </c:pt>
                <c:pt idx="97">
                  <c:v>2.439828543390745E-2</c:v>
                </c:pt>
                <c:pt idx="98">
                  <c:v>2.4649814149720929E-2</c:v>
                </c:pt>
                <c:pt idx="99">
                  <c:v>2.4901342865534408E-2</c:v>
                </c:pt>
                <c:pt idx="100">
                  <c:v>2.5152871581347887E-2</c:v>
                </c:pt>
                <c:pt idx="101">
                  <c:v>2.5404400297161366E-2</c:v>
                </c:pt>
                <c:pt idx="102">
                  <c:v>2.5655929012974844E-2</c:v>
                </c:pt>
                <c:pt idx="103">
                  <c:v>2.5907457728788323E-2</c:v>
                </c:pt>
                <c:pt idx="104">
                  <c:v>2.6158986444601802E-2</c:v>
                </c:pt>
                <c:pt idx="105">
                  <c:v>2.6410515160415281E-2</c:v>
                </c:pt>
                <c:pt idx="106">
                  <c:v>2.666204387622876E-2</c:v>
                </c:pt>
                <c:pt idx="107">
                  <c:v>2.6913572592042238E-2</c:v>
                </c:pt>
                <c:pt idx="108">
                  <c:v>2.7165101307855717E-2</c:v>
                </c:pt>
                <c:pt idx="109">
                  <c:v>2.7416630023669196E-2</c:v>
                </c:pt>
                <c:pt idx="110">
                  <c:v>2.7668158739482675E-2</c:v>
                </c:pt>
                <c:pt idx="111">
                  <c:v>2.7919687455296154E-2</c:v>
                </c:pt>
                <c:pt idx="112">
                  <c:v>2.8171216171109632E-2</c:v>
                </c:pt>
                <c:pt idx="113">
                  <c:v>2.8422744886923111E-2</c:v>
                </c:pt>
                <c:pt idx="114">
                  <c:v>2.867427360273659E-2</c:v>
                </c:pt>
                <c:pt idx="115">
                  <c:v>2.8925802318550069E-2</c:v>
                </c:pt>
                <c:pt idx="116">
                  <c:v>2.9177331034363548E-2</c:v>
                </c:pt>
                <c:pt idx="117">
                  <c:v>2.9428859750177026E-2</c:v>
                </c:pt>
                <c:pt idx="118">
                  <c:v>2.9680388465990505E-2</c:v>
                </c:pt>
                <c:pt idx="119">
                  <c:v>2.9931917181803984E-2</c:v>
                </c:pt>
                <c:pt idx="120">
                  <c:v>3.0183445897617463E-2</c:v>
                </c:pt>
                <c:pt idx="121">
                  <c:v>3.0434974613430942E-2</c:v>
                </c:pt>
                <c:pt idx="122">
                  <c:v>3.068650332924442E-2</c:v>
                </c:pt>
                <c:pt idx="123">
                  <c:v>3.0938032045057899E-2</c:v>
                </c:pt>
                <c:pt idx="124">
                  <c:v>3.1189560760871378E-2</c:v>
                </c:pt>
                <c:pt idx="125">
                  <c:v>3.1441089476684857E-2</c:v>
                </c:pt>
                <c:pt idx="126">
                  <c:v>3.1692618192498336E-2</c:v>
                </c:pt>
                <c:pt idx="127">
                  <c:v>3.1944146908311814E-2</c:v>
                </c:pt>
                <c:pt idx="128">
                  <c:v>3.2195675624125293E-2</c:v>
                </c:pt>
                <c:pt idx="129">
                  <c:v>3.2447204339938772E-2</c:v>
                </c:pt>
                <c:pt idx="130">
                  <c:v>3.2698733055752251E-2</c:v>
                </c:pt>
                <c:pt idx="131">
                  <c:v>3.2950261771565729E-2</c:v>
                </c:pt>
                <c:pt idx="132">
                  <c:v>3.3201790487379208E-2</c:v>
                </c:pt>
                <c:pt idx="133">
                  <c:v>3.3453319203192687E-2</c:v>
                </c:pt>
                <c:pt idx="134">
                  <c:v>3.3704847919006166E-2</c:v>
                </c:pt>
                <c:pt idx="135">
                  <c:v>3.3956376634819645E-2</c:v>
                </c:pt>
                <c:pt idx="136">
                  <c:v>3.4207905350633123E-2</c:v>
                </c:pt>
                <c:pt idx="137">
                  <c:v>3.4459434066446602E-2</c:v>
                </c:pt>
                <c:pt idx="138">
                  <c:v>3.4710962782260081E-2</c:v>
                </c:pt>
                <c:pt idx="139">
                  <c:v>3.496249149807356E-2</c:v>
                </c:pt>
                <c:pt idx="140">
                  <c:v>3.5214020213887039E-2</c:v>
                </c:pt>
                <c:pt idx="141">
                  <c:v>3.5465548929700517E-2</c:v>
                </c:pt>
                <c:pt idx="142">
                  <c:v>3.5717077645513996E-2</c:v>
                </c:pt>
                <c:pt idx="143">
                  <c:v>3.5968606361327475E-2</c:v>
                </c:pt>
                <c:pt idx="144">
                  <c:v>3.6220135077140954E-2</c:v>
                </c:pt>
                <c:pt idx="145">
                  <c:v>3.6471663792954433E-2</c:v>
                </c:pt>
                <c:pt idx="146">
                  <c:v>3.6723192508767911E-2</c:v>
                </c:pt>
                <c:pt idx="147">
                  <c:v>3.697472122458139E-2</c:v>
                </c:pt>
                <c:pt idx="148">
                  <c:v>3.7226249940394869E-2</c:v>
                </c:pt>
                <c:pt idx="149">
                  <c:v>3.7477778656208348E-2</c:v>
                </c:pt>
                <c:pt idx="150">
                  <c:v>3.7729307372021827E-2</c:v>
                </c:pt>
                <c:pt idx="151">
                  <c:v>3.7980836087835305E-2</c:v>
                </c:pt>
                <c:pt idx="152">
                  <c:v>3.8232364803648784E-2</c:v>
                </c:pt>
                <c:pt idx="153">
                  <c:v>3.8483893519462263E-2</c:v>
                </c:pt>
                <c:pt idx="154">
                  <c:v>3.8735422235275742E-2</c:v>
                </c:pt>
                <c:pt idx="155">
                  <c:v>3.8986950951089221E-2</c:v>
                </c:pt>
                <c:pt idx="156">
                  <c:v>3.9238479666902699E-2</c:v>
                </c:pt>
                <c:pt idx="157">
                  <c:v>3.9490008382716178E-2</c:v>
                </c:pt>
                <c:pt idx="158">
                  <c:v>3.9741537098529657E-2</c:v>
                </c:pt>
                <c:pt idx="159">
                  <c:v>3.9993065814343136E-2</c:v>
                </c:pt>
                <c:pt idx="160">
                  <c:v>4.0244594530156615E-2</c:v>
                </c:pt>
                <c:pt idx="161">
                  <c:v>4.0496123245970093E-2</c:v>
                </c:pt>
                <c:pt idx="162">
                  <c:v>4.0747651961783572E-2</c:v>
                </c:pt>
                <c:pt idx="163">
                  <c:v>4.0999180677597051E-2</c:v>
                </c:pt>
                <c:pt idx="164">
                  <c:v>4.125070939341053E-2</c:v>
                </c:pt>
                <c:pt idx="165">
                  <c:v>4.1502238109224009E-2</c:v>
                </c:pt>
                <c:pt idx="166">
                  <c:v>4.1753766825037487E-2</c:v>
                </c:pt>
                <c:pt idx="167">
                  <c:v>4.2005295540850966E-2</c:v>
                </c:pt>
                <c:pt idx="168">
                  <c:v>4.2256824256664445E-2</c:v>
                </c:pt>
                <c:pt idx="169">
                  <c:v>4.2508352972477924E-2</c:v>
                </c:pt>
                <c:pt idx="170">
                  <c:v>4.2759881688291403E-2</c:v>
                </c:pt>
                <c:pt idx="171">
                  <c:v>4.3011410404104881E-2</c:v>
                </c:pt>
                <c:pt idx="172">
                  <c:v>4.326293911991836E-2</c:v>
                </c:pt>
                <c:pt idx="173">
                  <c:v>4.3514467835731839E-2</c:v>
                </c:pt>
                <c:pt idx="174">
                  <c:v>4.3765996551545318E-2</c:v>
                </c:pt>
                <c:pt idx="175">
                  <c:v>4.4017525267358797E-2</c:v>
                </c:pt>
                <c:pt idx="176">
                  <c:v>4.4269053983172275E-2</c:v>
                </c:pt>
                <c:pt idx="177">
                  <c:v>4.4520582698985754E-2</c:v>
                </c:pt>
                <c:pt idx="178">
                  <c:v>4.4772111414799233E-2</c:v>
                </c:pt>
                <c:pt idx="179">
                  <c:v>4.5023640130612712E-2</c:v>
                </c:pt>
                <c:pt idx="180">
                  <c:v>4.5275168846426191E-2</c:v>
                </c:pt>
                <c:pt idx="181">
                  <c:v>4.5526697562239669E-2</c:v>
                </c:pt>
                <c:pt idx="182">
                  <c:v>4.5778226278053148E-2</c:v>
                </c:pt>
                <c:pt idx="183">
                  <c:v>4.6029754993866627E-2</c:v>
                </c:pt>
                <c:pt idx="184">
                  <c:v>4.6281283709680106E-2</c:v>
                </c:pt>
                <c:pt idx="185">
                  <c:v>4.6532812425493585E-2</c:v>
                </c:pt>
                <c:pt idx="186">
                  <c:v>4.6784341141307063E-2</c:v>
                </c:pt>
                <c:pt idx="187">
                  <c:v>4.7035869857120542E-2</c:v>
                </c:pt>
                <c:pt idx="188">
                  <c:v>4.7287398572934021E-2</c:v>
                </c:pt>
                <c:pt idx="189">
                  <c:v>4.75389272887475E-2</c:v>
                </c:pt>
                <c:pt idx="190">
                  <c:v>4.7790456004560979E-2</c:v>
                </c:pt>
                <c:pt idx="191">
                  <c:v>4.8041984720374457E-2</c:v>
                </c:pt>
                <c:pt idx="192">
                  <c:v>4.8293513436187936E-2</c:v>
                </c:pt>
                <c:pt idx="193">
                  <c:v>4.8545042152001415E-2</c:v>
                </c:pt>
                <c:pt idx="194">
                  <c:v>4.8796570867814894E-2</c:v>
                </c:pt>
                <c:pt idx="195">
                  <c:v>4.9048099583628373E-2</c:v>
                </c:pt>
                <c:pt idx="196">
                  <c:v>4.9299628299441851E-2</c:v>
                </c:pt>
                <c:pt idx="197">
                  <c:v>4.955115701525533E-2</c:v>
                </c:pt>
                <c:pt idx="198">
                  <c:v>4.9802685731068809E-2</c:v>
                </c:pt>
                <c:pt idx="199">
                  <c:v>5.0054214446882288E-2</c:v>
                </c:pt>
                <c:pt idx="200">
                  <c:v>5.0305743162695767E-2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3.1353276106126371E-2</c:v>
                </c:pt>
                <c:pt idx="2">
                  <c:v>0.1241767004857508</c:v>
                </c:pt>
                <c:pt idx="3">
                  <c:v>0.27636377214897312</c:v>
                </c:pt>
                <c:pt idx="4">
                  <c:v>0.48548961920239164</c:v>
                </c:pt>
                <c:pt idx="5">
                  <c:v>0.74883404896452843</c:v>
                </c:pt>
                <c:pt idx="6">
                  <c:v>1.0634058696578719</c:v>
                </c:pt>
                <c:pt idx="7">
                  <c:v>1.4259683002165369</c:v>
                </c:pt>
                <c:pt idx="8">
                  <c:v>1.8330652825107785</c:v>
                </c:pt>
                <c:pt idx="9">
                  <c:v>2.2810485092671353</c:v>
                </c:pt>
                <c:pt idx="10">
                  <c:v>2.7661049811318126</c:v>
                </c:pt>
                <c:pt idx="11">
                  <c:v>3.2842849076544933</c:v>
                </c:pt>
                <c:pt idx="12">
                  <c:v>3.8315297694229757</c:v>
                </c:pt>
                <c:pt idx="13">
                  <c:v>4.4037003621125583</c:v>
                </c:pt>
                <c:pt idx="14">
                  <c:v>4.9966046477791073</c:v>
                </c:pt>
                <c:pt idx="15">
                  <c:v>5.6060252442670802</c:v>
                </c:pt>
                <c:pt idx="16">
                  <c:v>6.2277463900645973</c:v>
                </c:pt>
                <c:pt idx="17">
                  <c:v>6.8575802292537267</c:v>
                </c:pt>
                <c:pt idx="18">
                  <c:v>7.4913922693086192</c:v>
                </c:pt>
                <c:pt idx="19">
                  <c:v>8.1251258733167386</c:v>
                </c:pt>
                <c:pt idx="20">
                  <c:v>8.7548256576663643</c:v>
                </c:pt>
                <c:pt idx="21">
                  <c:v>9.3766596762814043</c:v>
                </c:pt>
                <c:pt idx="22">
                  <c:v>9.9869402830159224</c:v>
                </c:pt>
                <c:pt idx="23">
                  <c:v>10.582143574767075</c:v>
                </c:pt>
                <c:pt idx="24">
                  <c:v>11.158927329148337</c:v>
                </c:pt>
                <c:pt idx="25">
                  <c:v>11.714147362105527</c:v>
                </c:pt>
                <c:pt idx="26">
                  <c:v>12.244872242578309</c:v>
                </c:pt>
                <c:pt idx="27">
                  <c:v>12.748396313131503</c:v>
                </c:pt>
                <c:pt idx="28">
                  <c:v>13.222250977327526</c:v>
                </c:pt>
                <c:pt idx="29">
                  <c:v>13.664214226408999</c:v>
                </c:pt>
                <c:pt idx="30">
                  <c:v>14.072318389536564</c:v>
                </c:pt>
                <c:pt idx="31">
                  <c:v>14.444856103311022</c:v>
                </c:pt>
                <c:pt idx="32">
                  <c:v>14.780384507534997</c:v>
                </c:pt>
                <c:pt idx="33">
                  <c:v>15.077727685072386</c:v>
                </c:pt>
                <c:pt idx="34">
                  <c:v>15.335977374185191</c:v>
                </c:pt>
                <c:pt idx="35">
                  <c:v>15.554491991809787</c:v>
                </c:pt>
                <c:pt idx="36">
                  <c:v>15.73289401582665</c:v>
                </c:pt>
                <c:pt idx="37">
                  <c:v>15.871065783431057</c:v>
                </c:pt>
                <c:pt idx="38">
                  <c:v>15.969143771184546</c:v>
                </c:pt>
                <c:pt idx="39">
                  <c:v>16.02751143017894</c:v>
                </c:pt>
                <c:pt idx="40">
                  <c:v>16.046790656943383</c:v>
                </c:pt>
                <c:pt idx="41">
                  <c:v>16.027831987241075</c:v>
                </c:pt>
                <c:pt idx="42">
                  <c:v>15.971703605712655</c:v>
                </c:pt>
                <c:pt idx="43">
                  <c:v>15.879679269408582</c:v>
                </c:pt>
                <c:pt idx="44">
                  <c:v>15.753225247599785</c:v>
                </c:pt>
                <c:pt idx="45">
                  <c:v>15.593986383855412</c:v>
                </c:pt>
                <c:pt idx="46">
                  <c:v>15.403771389224792</c:v>
                </c:pt>
                <c:pt idx="47">
                  <c:v>15.184537477458713</c:v>
                </c:pt>
                <c:pt idx="48">
                  <c:v>14.938374454558048</c:v>
                </c:pt>
                <c:pt idx="49">
                  <c:v>14.667488375556282</c:v>
                </c:pt>
                <c:pt idx="50">
                  <c:v>14.374184881340156</c:v>
                </c:pt>
                <c:pt idx="51">
                  <c:v>14.060852327508861</c:v>
                </c:pt>
                <c:pt idx="52">
                  <c:v>13.729944815788674</c:v>
                </c:pt>
                <c:pt idx="53">
                  <c:v>13.383965236383357</c:v>
                </c:pt>
                <c:pt idx="54">
                  <c:v>13.025448426880342</c:v>
                </c:pt>
                <c:pt idx="55">
                  <c:v>12.656944549981111</c:v>
                </c:pt>
                <c:pt idx="56">
                  <c:v>12.281002788417851</c:v>
                </c:pt>
                <c:pt idx="57">
                  <c:v>11.900155450994294</c:v>
                </c:pt>
                <c:pt idx="58">
                  <c:v>11.516902578788082</c:v>
                </c:pt>
                <c:pt idx="59">
                  <c:v>11.133697135217343</c:v>
                </c:pt>
                <c:pt idx="60">
                  <c:v>10.752930857948886</c:v>
                </c:pt>
                <c:pt idx="61">
                  <c:v>10.376920844555784</c:v>
                </c:pt>
                <c:pt idx="62">
                  <c:v>10.007896937464182</c:v>
                </c:pt>
                <c:pt idx="63">
                  <c:v>9.6479899671099023</c:v>
                </c:pt>
                <c:pt idx="64">
                  <c:v>9.2992209054029651</c:v>
                </c:pt>
                <c:pt idx="65">
                  <c:v>8.9634909746196314</c:v>
                </c:pt>
                <c:pt idx="66">
                  <c:v>8.6425727497546116</c:v>
                </c:pt>
                <c:pt idx="67">
                  <c:v>8.3381022852178948</c:v>
                </c:pt>
                <c:pt idx="68">
                  <c:v>8.0515722895969404</c:v>
                </c:pt>
                <c:pt idx="69">
                  <c:v>7.7843263650711148</c:v>
                </c:pt>
                <c:pt idx="70">
                  <c:v>7.537554321005171</c:v>
                </c:pt>
                <c:pt idx="71">
                  <c:v>7.3122885643041267</c:v>
                </c:pt>
                <c:pt idx="72">
                  <c:v>7.1094015623240576</c:v>
                </c:pt>
                <c:pt idx="73">
                  <c:v>6.929604367540164</c:v>
                </c:pt>
                <c:pt idx="74">
                  <c:v>6.7734461868115794</c:v>
                </c:pt>
                <c:pt idx="75">
                  <c:v>6.6413149719857811</c:v>
                </c:pt>
                <c:pt idx="76">
                  <c:v>6.5334390027852844</c:v>
                </c:pt>
                <c:pt idx="77">
                  <c:v>6.4498894274449121</c:v>
                </c:pt>
                <c:pt idx="78">
                  <c:v>6.3905837214449512</c:v>
                </c:pt>
                <c:pt idx="79">
                  <c:v>6.3552900199374553</c:v>
                </c:pt>
                <c:pt idx="80">
                  <c:v>6.3436322751102212</c:v>
                </c:pt>
                <c:pt idx="81">
                  <c:v>6.3550961857926191</c:v>
                </c:pt>
                <c:pt idx="82">
                  <c:v>6.3890358430941578</c:v>
                </c:pt>
                <c:pt idx="83">
                  <c:v>6.4446810327916451</c:v>
                </c:pt>
                <c:pt idx="84">
                  <c:v>6.5211451325522782</c:v>
                </c:pt>
                <c:pt idx="85">
                  <c:v>6.6174335399034545</c:v>
                </c:pt>
                <c:pt idx="86">
                  <c:v>6.7324525651377485</c:v>
                </c:pt>
                <c:pt idx="87">
                  <c:v>6.8650187220729748</c:v>
                </c:pt>
                <c:pt idx="88">
                  <c:v>7.0138683487690434</c:v>
                </c:pt>
                <c:pt idx="89">
                  <c:v>7.1776674899294335</c:v>
                </c:pt>
                <c:pt idx="90">
                  <c:v>7.3550219727769246</c:v>
                </c:pt>
                <c:pt idx="91">
                  <c:v>7.5444876086792512</c:v>
                </c:pt>
                <c:pt idx="92">
                  <c:v>7.7445804536974538</c:v>
                </c:pt>
                <c:pt idx="93">
                  <c:v>7.9537870625215774</c:v>
                </c:pt>
                <c:pt idx="94">
                  <c:v>8.1705746719275769</c:v>
                </c:pt>
                <c:pt idx="95">
                  <c:v>8.3934012519157442</c:v>
                </c:pt>
                <c:pt idx="96">
                  <c:v>8.6207253650532998</c:v>
                </c:pt>
                <c:pt idx="97">
                  <c:v>8.8510157772187537</c:v>
                </c:pt>
                <c:pt idx="98">
                  <c:v>9.0827607659090805</c:v>
                </c:pt>
                <c:pt idx="99">
                  <c:v>9.3144770754964163</c:v>
                </c:pt>
                <c:pt idx="100">
                  <c:v>9.5447184722830176</c:v>
                </c:pt>
                <c:pt idx="101">
                  <c:v>9.7720838558732748</c:v>
                </c:pt>
                <c:pt idx="102">
                  <c:v>9.9952248872323004</c:v>
                </c:pt>
                <c:pt idx="103">
                  <c:v>10.212853097803006</c:v>
                </c:pt>
                <c:pt idx="104">
                  <c:v>10.423746448179047</c:v>
                </c:pt>
                <c:pt idx="105">
                  <c:v>10.62675530905074</c:v>
                </c:pt>
                <c:pt idx="106">
                  <c:v>10.820807841426404</c:v>
                </c:pt>
                <c:pt idx="107">
                  <c:v>11.004914757453989</c:v>
                </c:pt>
                <c:pt idx="108">
                  <c:v>11.178173447499473</c:v>
                </c:pt>
                <c:pt idx="109">
                  <c:v>11.339771463452365</c:v>
                </c:pt>
                <c:pt idx="110">
                  <c:v>11.488989352497645</c:v>
                </c:pt>
                <c:pt idx="111">
                  <c:v>11.625202839792564</c:v>
                </c:pt>
                <c:pt idx="112">
                  <c:v>11.747884362591394</c:v>
                </c:pt>
                <c:pt idx="113">
                  <c:v>11.856603962347785</c:v>
                </c:pt>
                <c:pt idx="114">
                  <c:v>11.951029545171274</c:v>
                </c:pt>
                <c:pt idx="115">
                  <c:v>12.030926524701197</c:v>
                </c:pt>
                <c:pt idx="116">
                  <c:v>12.096156864968226</c:v>
                </c:pt>
                <c:pt idx="117">
                  <c:v>12.1466775441242</c:v>
                </c:pt>
                <c:pt idx="118">
                  <c:v>12.182538463018602</c:v>
                </c:pt>
                <c:pt idx="119">
                  <c:v>12.203879825471049</c:v>
                </c:pt>
                <c:pt idx="120">
                  <c:v>12.210929019721284</c:v>
                </c:pt>
                <c:pt idx="121">
                  <c:v>12.20399703292065</c:v>
                </c:pt>
                <c:pt idx="122">
                  <c:v>12.183474432653568</c:v>
                </c:pt>
                <c:pt idx="123">
                  <c:v>12.149826951336911</c:v>
                </c:pt>
                <c:pt idx="124">
                  <c:v>12.103590710934494</c:v>
                </c:pt>
                <c:pt idx="125">
                  <c:v>12.045367126740187</c:v>
                </c:pt>
                <c:pt idx="126">
                  <c:v>11.975817530024441</c:v>
                </c:pt>
                <c:pt idx="127">
                  <c:v>11.89565755010616</c:v>
                </c:pt>
                <c:pt idx="128">
                  <c:v>11.805651296906632</c:v>
                </c:pt>
                <c:pt idx="129">
                  <c:v>11.706605385268231</c:v>
                </c:pt>
                <c:pt idx="130">
                  <c:v>11.599362842283309</c:v>
                </c:pt>
                <c:pt idx="131">
                  <c:v>11.484796938584708</c:v>
                </c:pt>
                <c:pt idx="132">
                  <c:v>11.363804984006979</c:v>
                </c:pt>
                <c:pt idx="133">
                  <c:v>11.237302127246128</c:v>
                </c:pt>
                <c:pt idx="134">
                  <c:v>11.106215198136397</c:v>
                </c:pt>
                <c:pt idx="135">
                  <c:v>10.971476629937289</c:v>
                </c:pt>
                <c:pt idx="136">
                  <c:v>10.83401849759548</c:v>
                </c:pt>
                <c:pt idx="137">
                  <c:v>10.694766706328906</c:v>
                </c:pt>
                <c:pt idx="138">
                  <c:v>10.554635363088298</c:v>
                </c:pt>
                <c:pt idx="139">
                  <c:v>10.414521361500885</c:v>
                </c:pt>
                <c:pt idx="140">
                  <c:v>10.275299208807802</c:v>
                </c:pt>
                <c:pt idx="141">
                  <c:v>10.137816121087212</c:v>
                </c:pt>
                <c:pt idx="142">
                  <c:v>10.002887410726967</c:v>
                </c:pt>
                <c:pt idx="143">
                  <c:v>9.8712921876903401</c:v>
                </c:pt>
                <c:pt idx="144">
                  <c:v>9.7437693936238041</c:v>
                </c:pt>
                <c:pt idx="145">
                  <c:v>9.6210141853042401</c:v>
                </c:pt>
                <c:pt idx="146">
                  <c:v>9.5036746813316988</c:v>
                </c:pt>
                <c:pt idx="147">
                  <c:v>9.3923490833602745</c:v>
                </c:pt>
                <c:pt idx="148">
                  <c:v>9.2875831805401496</c:v>
                </c:pt>
                <c:pt idx="149">
                  <c:v>9.1898682432356917</c:v>
                </c:pt>
                <c:pt idx="150">
                  <c:v>9.0996393095029084</c:v>
                </c:pt>
                <c:pt idx="151">
                  <c:v>9.0172738652704538</c:v>
                </c:pt>
                <c:pt idx="152">
                  <c:v>8.9430909166864954</c:v>
                </c:pt>
                <c:pt idx="153">
                  <c:v>8.8773504506831387</c:v>
                </c:pt>
                <c:pt idx="154">
                  <c:v>8.8202532774837881</c:v>
                </c:pt>
                <c:pt idx="155">
                  <c:v>8.771941246549833</c:v>
                </c:pt>
                <c:pt idx="156">
                  <c:v>8.7324978253422429</c:v>
                </c:pt>
                <c:pt idx="157">
                  <c:v>8.7019490282719616</c:v>
                </c:pt>
                <c:pt idx="158">
                  <c:v>8.6802646813399562</c:v>
                </c:pt>
                <c:pt idx="159">
                  <c:v>8.667360006231565</c:v>
                </c:pt>
                <c:pt idx="160">
                  <c:v>8.6630975060384348</c:v>
                </c:pt>
                <c:pt idx="161">
                  <c:v>8.6672891333404483</c:v>
                </c:pt>
                <c:pt idx="162">
                  <c:v>8.6796987200955638</c:v>
                </c:pt>
                <c:pt idx="163">
                  <c:v>8.7000446476610875</c:v>
                </c:pt>
                <c:pt idx="164">
                  <c:v>8.7280027343088413</c:v>
                </c:pt>
                <c:pt idx="165">
                  <c:v>8.7632093168008272</c:v>
                </c:pt>
                <c:pt idx="166">
                  <c:v>8.8052645019623235</c:v>
                </c:pt>
                <c:pt idx="167">
                  <c:v>8.8537355637253849</c:v>
                </c:pt>
                <c:pt idx="168">
                  <c:v>8.908160460816724</c:v>
                </c:pt>
                <c:pt idx="169">
                  <c:v>8.9680514501270761</c:v>
                </c:pt>
                <c:pt idx="170">
                  <c:v>9.0328987708218822</c:v>
                </c:pt>
                <c:pt idx="171">
                  <c:v>9.1021743744307813</c:v>
                </c:pt>
                <c:pt idx="172">
                  <c:v>9.1753356764813745</c:v>
                </c:pt>
                <c:pt idx="173">
                  <c:v>9.2518293057151908</c:v>
                </c:pt>
                <c:pt idx="174">
                  <c:v>9.3310948275340007</c:v>
                </c:pt>
                <c:pt idx="175">
                  <c:v>9.4125684190656322</c:v>
                </c:pt>
                <c:pt idx="176">
                  <c:v>9.4956864741021665</c:v>
                </c:pt>
                <c:pt idx="177">
                  <c:v>9.5798891171414979</c:v>
                </c:pt>
                <c:pt idx="178">
                  <c:v>9.6646236068467246</c:v>
                </c:pt>
                <c:pt idx="179">
                  <c:v>9.7493476104172956</c:v>
                </c:pt>
                <c:pt idx="180">
                  <c:v>9.8335323316317016</c:v>
                </c:pt>
                <c:pt idx="181">
                  <c:v>9.9166654766633613</c:v>
                </c:pt>
                <c:pt idx="182">
                  <c:v>9.9982540431793367</c:v>
                </c:pt>
                <c:pt idx="183">
                  <c:v>10.077826919694964</c:v>
                </c:pt>
                <c:pt idx="184">
                  <c:v>10.154937283665845</c:v>
                </c:pt>
                <c:pt idx="185">
                  <c:v>10.229164788341636</c:v>
                </c:pt>
                <c:pt idx="186">
                  <c:v>10.300117529972789</c:v>
                </c:pt>
                <c:pt idx="187">
                  <c:v>10.367433788542012</c:v>
                </c:pt>
                <c:pt idx="188">
                  <c:v>10.430783536775913</c:v>
                </c:pt>
                <c:pt idx="189">
                  <c:v>10.489869713769552</c:v>
                </c:pt>
                <c:pt idx="190">
                  <c:v>10.544429261117685</c:v>
                </c:pt>
                <c:pt idx="191">
                  <c:v>10.594233920981669</c:v>
                </c:pt>
                <c:pt idx="192">
                  <c:v>10.639090797021868</c:v>
                </c:pt>
                <c:pt idx="193">
                  <c:v>10.678842680583088</c:v>
                </c:pt>
                <c:pt idx="194">
                  <c:v>10.71336814592706</c:v>
                </c:pt>
                <c:pt idx="195">
                  <c:v>10.742581419653998</c:v>
                </c:pt>
                <c:pt idx="196">
                  <c:v>10.766432030737594</c:v>
                </c:pt>
                <c:pt idx="197">
                  <c:v>10.784904248808136</c:v>
                </c:pt>
                <c:pt idx="198">
                  <c:v>10.798016319451174</c:v>
                </c:pt>
                <c:pt idx="199">
                  <c:v>10.805819506338805</c:v>
                </c:pt>
                <c:pt idx="200">
                  <c:v>10.808396950973108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6" sqref="B6"/>
    </sheetView>
  </sheetViews>
  <sheetFormatPr baseColWidth="10" defaultColWidth="8.6640625" defaultRowHeight="15" x14ac:dyDescent="0.2"/>
  <cols>
    <col min="1" max="1" width="34" customWidth="1"/>
    <col min="2" max="4" width="30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</row>
    <row r="5" spans="1:2" x14ac:dyDescent="0.2">
      <c r="A5" s="4" t="s">
        <v>3</v>
      </c>
      <c r="B5" s="5">
        <v>10</v>
      </c>
    </row>
    <row r="6" spans="1:2" x14ac:dyDescent="0.2">
      <c r="A6" s="4" t="s">
        <v>4</v>
      </c>
      <c r="B6" s="5">
        <v>0.1</v>
      </c>
    </row>
    <row r="7" spans="1:2" x14ac:dyDescent="0.2">
      <c r="A7" s="4" t="s">
        <v>5</v>
      </c>
      <c r="B7" s="5">
        <v>1E-4</v>
      </c>
    </row>
    <row r="8" spans="1:2" x14ac:dyDescent="0.2">
      <c r="A8" s="4" t="s">
        <v>6</v>
      </c>
      <c r="B8" s="5">
        <v>10</v>
      </c>
    </row>
    <row r="10" spans="1:2" x14ac:dyDescent="0.2">
      <c r="A10" s="3" t="s">
        <v>7</v>
      </c>
    </row>
    <row r="11" spans="1:2" x14ac:dyDescent="0.2">
      <c r="A11" s="4" t="s">
        <v>8</v>
      </c>
      <c r="B11" s="6">
        <f>$B$5/(2*$B$6)</f>
        <v>50</v>
      </c>
    </row>
    <row r="12" spans="1:2" x14ac:dyDescent="0.2">
      <c r="A12" s="4" t="s">
        <v>9</v>
      </c>
      <c r="B12" s="6">
        <f>1/SQRT($B$6*$B$7)</f>
        <v>316.2277660168379</v>
      </c>
    </row>
    <row r="13" spans="1:2" x14ac:dyDescent="0.2">
      <c r="A13" s="4" t="s">
        <v>10</v>
      </c>
      <c r="B13" s="6">
        <f>SQRT($B$12^2-$B$11^2)</f>
        <v>312.24989991991987</v>
      </c>
    </row>
    <row r="14" spans="1:2" x14ac:dyDescent="0.2">
      <c r="A14" s="4" t="s">
        <v>11</v>
      </c>
      <c r="B14" s="7">
        <f>2*PI()/$B$13</f>
        <v>2.0122297265078332E-2</v>
      </c>
    </row>
    <row r="15" spans="1:2" x14ac:dyDescent="0.2">
      <c r="A15" s="4" t="s">
        <v>12</v>
      </c>
      <c r="B15" s="7">
        <f>2.5*$B$14</f>
        <v>5.0305743162695829E-2</v>
      </c>
    </row>
    <row r="16" spans="1:2" x14ac:dyDescent="0.2">
      <c r="A16" s="4" t="s">
        <v>13</v>
      </c>
      <c r="B16" s="5">
        <v>200</v>
      </c>
    </row>
    <row r="17" spans="1:4" x14ac:dyDescent="0.2">
      <c r="A17" s="4" t="s">
        <v>14</v>
      </c>
      <c r="B17" s="7">
        <f>$B$15/$B$16</f>
        <v>2.5152871581347912E-4</v>
      </c>
    </row>
    <row r="19" spans="1:4" ht="45" customHeight="1" x14ac:dyDescent="0.2">
      <c r="A19" s="9" t="s">
        <v>15</v>
      </c>
      <c r="B19" s="9"/>
      <c r="C19" s="9"/>
      <c r="D19" s="9"/>
    </row>
    <row r="21" spans="1:4" ht="30" customHeight="1" x14ac:dyDescent="0.2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2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2">
      <c r="A23" s="7">
        <f t="shared" ref="A23:A54" si="3">A22+$B$17</f>
        <v>2.5152871581347912E-4</v>
      </c>
      <c r="B23" s="6">
        <f t="shared" si="0"/>
        <v>0.24812990764064763</v>
      </c>
      <c r="C23" s="6">
        <f t="shared" si="1"/>
        <v>9.7205168162532267</v>
      </c>
      <c r="D23" s="6">
        <f t="shared" si="2"/>
        <v>3.1353276106126371E-2</v>
      </c>
    </row>
    <row r="24" spans="1:4" x14ac:dyDescent="0.2">
      <c r="A24" s="7">
        <f t="shared" si="3"/>
        <v>5.0305743162695825E-4</v>
      </c>
      <c r="B24" s="6">
        <f t="shared" si="0"/>
        <v>0.48854703307383057</v>
      </c>
      <c r="C24" s="6">
        <f t="shared" si="1"/>
        <v>9.3872762664404181</v>
      </c>
      <c r="D24" s="6">
        <f t="shared" si="2"/>
        <v>0.1241767004857508</v>
      </c>
    </row>
    <row r="25" spans="1:4" x14ac:dyDescent="0.2">
      <c r="A25" s="7">
        <f t="shared" si="3"/>
        <v>7.5458614744043737E-4</v>
      </c>
      <c r="B25" s="6">
        <f t="shared" si="0"/>
        <v>0.71994167737086157</v>
      </c>
      <c r="C25" s="6">
        <f t="shared" si="1"/>
        <v>9.0036945504801658</v>
      </c>
      <c r="D25" s="6">
        <f t="shared" si="2"/>
        <v>0.27636377214897312</v>
      </c>
    </row>
    <row r="26" spans="1:4" x14ac:dyDescent="0.2">
      <c r="A26" s="7">
        <f t="shared" si="3"/>
        <v>1.0061148632539165E-3</v>
      </c>
      <c r="B26" s="6">
        <f t="shared" si="0"/>
        <v>0.94109301407529466</v>
      </c>
      <c r="C26" s="6">
        <f t="shared" si="1"/>
        <v>8.5734173667223139</v>
      </c>
      <c r="D26" s="6">
        <f t="shared" si="2"/>
        <v>0.48548961920239164</v>
      </c>
    </row>
    <row r="27" spans="1:4" x14ac:dyDescent="0.2">
      <c r="A27" s="7">
        <f t="shared" si="3"/>
        <v>1.2576435790673957E-3</v>
      </c>
      <c r="B27" s="6">
        <f t="shared" si="0"/>
        <v>1.1508745051010629</v>
      </c>
      <c r="C27" s="6">
        <f t="shared" si="1"/>
        <v>8.100291445934408</v>
      </c>
      <c r="D27" s="6">
        <f t="shared" si="2"/>
        <v>0.74883404896452843</v>
      </c>
    </row>
    <row r="28" spans="1:4" x14ac:dyDescent="0.2">
      <c r="A28" s="7">
        <f t="shared" si="3"/>
        <v>1.509172294880875E-3</v>
      </c>
      <c r="B28" s="6">
        <f t="shared" si="0"/>
        <v>1.3482585933230726</v>
      </c>
      <c r="C28" s="6">
        <f t="shared" si="1"/>
        <v>7.5883355370190557</v>
      </c>
      <c r="D28" s="6">
        <f t="shared" si="2"/>
        <v>1.0634058696578719</v>
      </c>
    </row>
    <row r="29" spans="1:4" x14ac:dyDescent="0.2">
      <c r="A29" s="7">
        <f t="shared" si="3"/>
        <v>1.7607010106943542E-3</v>
      </c>
      <c r="B29" s="6">
        <f t="shared" si="0"/>
        <v>1.5323206605238593</v>
      </c>
      <c r="C29" s="6">
        <f t="shared" si="1"/>
        <v>7.041711039259603</v>
      </c>
      <c r="D29" s="6">
        <f t="shared" si="2"/>
        <v>1.4259683002165369</v>
      </c>
    </row>
    <row r="30" spans="1:4" x14ac:dyDescent="0.2">
      <c r="A30" s="7">
        <f t="shared" si="3"/>
        <v>2.0122297265078334E-3</v>
      </c>
      <c r="B30" s="6">
        <f t="shared" si="0"/>
        <v>1.7022422442289682</v>
      </c>
      <c r="C30" s="6">
        <f t="shared" si="1"/>
        <v>6.4646924732602535</v>
      </c>
      <c r="D30" s="6">
        <f t="shared" si="2"/>
        <v>1.8330652825107785</v>
      </c>
    </row>
    <row r="31" spans="1:4" x14ac:dyDescent="0.2">
      <c r="A31" s="7">
        <f t="shared" si="3"/>
        <v>2.2637584423213127E-3</v>
      </c>
      <c r="B31" s="6">
        <f t="shared" si="0"/>
        <v>1.8573135117522117</v>
      </c>
      <c r="C31" s="6">
        <f t="shared" si="1"/>
        <v>5.861637978980653</v>
      </c>
      <c r="D31" s="6">
        <f t="shared" si="2"/>
        <v>2.2810485092671353</v>
      </c>
    </row>
    <row r="32" spans="1:4" x14ac:dyDescent="0.2">
      <c r="A32" s="7">
        <f t="shared" si="3"/>
        <v>2.5152871581347919E-3</v>
      </c>
      <c r="B32" s="6">
        <f t="shared" si="0"/>
        <v>1.9969349944519887</v>
      </c>
      <c r="C32" s="6">
        <f t="shared" si="1"/>
        <v>5.2369600244161987</v>
      </c>
      <c r="D32" s="6">
        <f t="shared" si="2"/>
        <v>2.7661049811318126</v>
      </c>
    </row>
    <row r="33" spans="1:4" x14ac:dyDescent="0.2">
      <c r="A33" s="7">
        <f t="shared" si="3"/>
        <v>2.7668158739482711E-3</v>
      </c>
      <c r="B33" s="6">
        <f t="shared" si="0"/>
        <v>2.1206185897449004</v>
      </c>
      <c r="C33" s="6">
        <f t="shared" si="1"/>
        <v>4.5950965026006063</v>
      </c>
      <c r="D33" s="6">
        <f t="shared" si="2"/>
        <v>3.2842849076544933</v>
      </c>
    </row>
    <row r="34" spans="1:4" x14ac:dyDescent="0.2">
      <c r="A34" s="7">
        <f t="shared" si="3"/>
        <v>3.0183445897617503E-3</v>
      </c>
      <c r="B34" s="6">
        <f t="shared" si="0"/>
        <v>2.2279878428079098</v>
      </c>
      <c r="C34" s="6">
        <f t="shared" si="1"/>
        <v>3.9404823877691149</v>
      </c>
      <c r="D34" s="6">
        <f t="shared" si="2"/>
        <v>3.8315297694229757</v>
      </c>
    </row>
    <row r="35" spans="1:4" x14ac:dyDescent="0.2">
      <c r="A35" s="7">
        <f t="shared" si="3"/>
        <v>3.2698733055752296E-3</v>
      </c>
      <c r="B35" s="6">
        <f t="shared" si="0"/>
        <v>2.3187775241019195</v>
      </c>
      <c r="C35" s="6">
        <f t="shared" si="1"/>
        <v>3.2775221137855217</v>
      </c>
      <c r="D35" s="6">
        <f t="shared" si="2"/>
        <v>4.4037003621125583</v>
      </c>
    </row>
    <row r="36" spans="1:4" x14ac:dyDescent="0.2">
      <c r="A36" s="7">
        <f t="shared" si="3"/>
        <v>3.5214020213887088E-3</v>
      </c>
      <c r="B36" s="6">
        <f t="shared" si="0"/>
        <v>2.3928325228461129</v>
      </c>
      <c r="C36" s="6">
        <f t="shared" si="1"/>
        <v>2.6105628293747793</v>
      </c>
      <c r="D36" s="6">
        <f t="shared" si="2"/>
        <v>4.9966046477791073</v>
      </c>
    </row>
    <row r="37" spans="1:4" x14ac:dyDescent="0.2">
      <c r="A37" s="7">
        <f t="shared" si="3"/>
        <v>3.772930737202188E-3</v>
      </c>
      <c r="B37" s="6">
        <f t="shared" si="0"/>
        <v>2.4501060803439492</v>
      </c>
      <c r="C37" s="6">
        <f t="shared" si="1"/>
        <v>1.9438686753889707</v>
      </c>
      <c r="D37" s="6">
        <f t="shared" si="2"/>
        <v>5.6060252442670802</v>
      </c>
    </row>
    <row r="38" spans="1:4" x14ac:dyDescent="0.2">
      <c r="A38" s="7">
        <f t="shared" si="3"/>
        <v>4.0244594530156668E-3</v>
      </c>
      <c r="B38" s="6">
        <f t="shared" si="0"/>
        <v>2.490657390590298</v>
      </c>
      <c r="C38" s="6">
        <f t="shared" si="1"/>
        <v>1.2815962193451043</v>
      </c>
      <c r="D38" s="6">
        <f t="shared" si="2"/>
        <v>6.2277463900645973</v>
      </c>
    </row>
    <row r="39" spans="1:4" x14ac:dyDescent="0.2">
      <c r="A39" s="7">
        <f t="shared" si="3"/>
        <v>4.2759881688291456E-3</v>
      </c>
      <c r="B39" s="6">
        <f t="shared" si="0"/>
        <v>2.5146485988588738</v>
      </c>
      <c r="C39" s="6">
        <f t="shared" si="1"/>
        <v>0.6277711718873995</v>
      </c>
      <c r="D39" s="6">
        <f t="shared" si="2"/>
        <v>6.8575802292537267</v>
      </c>
    </row>
    <row r="40" spans="1:4" x14ac:dyDescent="0.2">
      <c r="A40" s="7">
        <f t="shared" si="3"/>
        <v>4.5275168846426244E-3</v>
      </c>
      <c r="B40" s="6">
        <f t="shared" si="0"/>
        <v>2.5223412319658718</v>
      </c>
      <c r="C40" s="6">
        <f t="shared" si="1"/>
        <v>-1.3733501274490578E-2</v>
      </c>
      <c r="D40" s="6">
        <f t="shared" si="2"/>
        <v>7.4913922693086192</v>
      </c>
    </row>
    <row r="41" spans="1:4" x14ac:dyDescent="0.2">
      <c r="A41" s="7">
        <f t="shared" si="3"/>
        <v>4.7790456004561032E-3</v>
      </c>
      <c r="B41" s="6">
        <f t="shared" si="0"/>
        <v>2.5140920966176199</v>
      </c>
      <c r="C41" s="6">
        <f t="shared" si="1"/>
        <v>-0.63921796993435898</v>
      </c>
      <c r="D41" s="6">
        <f t="shared" si="2"/>
        <v>8.1251258733167386</v>
      </c>
    </row>
    <row r="42" spans="1:4" x14ac:dyDescent="0.2">
      <c r="A42" s="7">
        <f t="shared" si="3"/>
        <v>5.030574316269582E-3</v>
      </c>
      <c r="B42" s="6">
        <f t="shared" si="0"/>
        <v>2.490348684667266</v>
      </c>
      <c r="C42" s="6">
        <f t="shared" si="1"/>
        <v>-1.2451743423336303</v>
      </c>
      <c r="D42" s="6">
        <f t="shared" si="2"/>
        <v>8.7548256576663643</v>
      </c>
    </row>
    <row r="43" spans="1:4" x14ac:dyDescent="0.2">
      <c r="A43" s="7">
        <f t="shared" si="3"/>
        <v>5.2821030320830608E-3</v>
      </c>
      <c r="B43" s="6">
        <f t="shared" si="0"/>
        <v>2.4516441262202009</v>
      </c>
      <c r="C43" s="6">
        <f t="shared" si="1"/>
        <v>-1.8283038025016047</v>
      </c>
      <c r="D43" s="6">
        <f t="shared" si="2"/>
        <v>9.3766596762814043</v>
      </c>
    </row>
    <row r="44" spans="1:4" x14ac:dyDescent="0.2">
      <c r="A44" s="7">
        <f t="shared" si="3"/>
        <v>5.5336317478965396E-3</v>
      </c>
      <c r="B44" s="6">
        <f t="shared" si="0"/>
        <v>2.3985917333344902</v>
      </c>
      <c r="C44" s="6">
        <f t="shared" si="1"/>
        <v>-2.3855320163504121</v>
      </c>
      <c r="D44" s="6">
        <f t="shared" si="2"/>
        <v>9.9869402830159224</v>
      </c>
    </row>
    <row r="45" spans="1:4" x14ac:dyDescent="0.2">
      <c r="A45" s="7">
        <f t="shared" si="3"/>
        <v>5.7851604637100184E-3</v>
      </c>
      <c r="B45" s="6">
        <f t="shared" si="0"/>
        <v>2.3318791785572954</v>
      </c>
      <c r="C45" s="6">
        <f t="shared" si="1"/>
        <v>-2.914022753324371</v>
      </c>
      <c r="D45" s="6">
        <f t="shared" si="2"/>
        <v>10.582143574767075</v>
      </c>
    </row>
    <row r="46" spans="1:4" x14ac:dyDescent="0.2">
      <c r="A46" s="7">
        <f t="shared" si="3"/>
        <v>6.0366891795234972E-3</v>
      </c>
      <c r="B46" s="6">
        <f t="shared" si="0"/>
        <v>2.2522623537196402</v>
      </c>
      <c r="C46" s="6">
        <f t="shared" si="1"/>
        <v>-3.4111896828679775</v>
      </c>
      <c r="D46" s="6">
        <f t="shared" si="2"/>
        <v>11.158927329148337</v>
      </c>
    </row>
    <row r="47" spans="1:4" x14ac:dyDescent="0.2">
      <c r="A47" s="7">
        <f t="shared" si="3"/>
        <v>6.288217895336976E-3</v>
      </c>
      <c r="B47" s="6">
        <f t="shared" si="0"/>
        <v>2.1605589552802034</v>
      </c>
      <c r="C47" s="6">
        <f t="shared" si="1"/>
        <v>-3.8747063173857299</v>
      </c>
      <c r="D47" s="6">
        <f t="shared" si="2"/>
        <v>11.714147362105527</v>
      </c>
    </row>
    <row r="48" spans="1:4" x14ac:dyDescent="0.2">
      <c r="A48" s="7">
        <f t="shared" si="3"/>
        <v>6.5397466111504548E-3</v>
      </c>
      <c r="B48" s="6">
        <f t="shared" si="0"/>
        <v>2.0576418430666017</v>
      </c>
      <c r="C48" s="6">
        <f t="shared" si="1"/>
        <v>-4.3025140856449102</v>
      </c>
      <c r="D48" s="6">
        <f t="shared" si="2"/>
        <v>12.244872242578309</v>
      </c>
    </row>
    <row r="49" spans="1:4" x14ac:dyDescent="0.2">
      <c r="A49" s="7">
        <f t="shared" si="3"/>
        <v>6.7912753269639336E-3</v>
      </c>
      <c r="B49" s="6">
        <f t="shared" si="0"/>
        <v>1.9444322195139172</v>
      </c>
      <c r="C49" s="6">
        <f t="shared" si="1"/>
        <v>-4.6928285326454198</v>
      </c>
      <c r="D49" s="6">
        <f t="shared" si="2"/>
        <v>12.748396313131503</v>
      </c>
    </row>
    <row r="50" spans="1:4" x14ac:dyDescent="0.2">
      <c r="A50" s="7">
        <f t="shared" si="3"/>
        <v>7.0428040427774124E-3</v>
      </c>
      <c r="B50" s="6">
        <f t="shared" si="0"/>
        <v>1.82189267645124</v>
      </c>
      <c r="C50" s="6">
        <f t="shared" si="1"/>
        <v>-5.0441436537787663</v>
      </c>
      <c r="D50" s="6">
        <f t="shared" si="2"/>
        <v>13.222250977327526</v>
      </c>
    </row>
    <row r="51" spans="1:4" x14ac:dyDescent="0.2">
      <c r="A51" s="7">
        <f t="shared" si="3"/>
        <v>7.2943327585908912E-3</v>
      </c>
      <c r="B51" s="6">
        <f t="shared" si="0"/>
        <v>1.6910201561453617</v>
      </c>
      <c r="C51" s="6">
        <f t="shared" si="1"/>
        <v>-5.3552343825543609</v>
      </c>
      <c r="D51" s="6">
        <f t="shared" si="2"/>
        <v>13.664214226408999</v>
      </c>
    </row>
    <row r="52" spans="1:4" x14ac:dyDescent="0.2">
      <c r="A52" s="7">
        <f t="shared" si="3"/>
        <v>7.54586147440437E-3</v>
      </c>
      <c r="B52" s="6">
        <f t="shared" si="0"/>
        <v>1.5528388726859732</v>
      </c>
      <c r="C52" s="6">
        <f t="shared" si="1"/>
        <v>-5.6251572622225368</v>
      </c>
      <c r="D52" s="6">
        <f t="shared" si="2"/>
        <v>14.072318389536564</v>
      </c>
    </row>
    <row r="53" spans="1:4" x14ac:dyDescent="0.2">
      <c r="A53" s="7">
        <f t="shared" si="3"/>
        <v>7.7973901902178488E-3</v>
      </c>
      <c r="B53" s="6">
        <f t="shared" si="0"/>
        <v>1.4083932388996687</v>
      </c>
      <c r="C53" s="6">
        <f t="shared" si="1"/>
        <v>-5.8532493422106899</v>
      </c>
      <c r="D53" s="6">
        <f t="shared" si="2"/>
        <v>14.444856103311022</v>
      </c>
    </row>
    <row r="54" spans="1:4" x14ac:dyDescent="0.2">
      <c r="A54" s="7">
        <f t="shared" si="3"/>
        <v>8.0489189060313285E-3</v>
      </c>
      <c r="B54" s="6">
        <f t="shared" si="0"/>
        <v>1.2587408428231042</v>
      </c>
      <c r="C54" s="6">
        <f t="shared" si="1"/>
        <v>-6.0391253503581019</v>
      </c>
      <c r="D54" s="6">
        <f t="shared" si="2"/>
        <v>14.780384507534997</v>
      </c>
    </row>
    <row r="55" spans="1:4" x14ac:dyDescent="0.2">
      <c r="A55" s="7">
        <f t="shared" ref="A55:A86" si="4">A54+$B$17</f>
        <v>8.3004476218448073E-3</v>
      </c>
      <c r="B55" s="6">
        <f t="shared" si="0"/>
        <v>1.1049455163625304</v>
      </c>
      <c r="C55" s="6">
        <f t="shared" si="1"/>
        <v>-6.1826732014349162</v>
      </c>
      <c r="D55" s="6">
        <f t="shared" si="2"/>
        <v>15.077727685072386</v>
      </c>
    </row>
    <row r="56" spans="1:4" x14ac:dyDescent="0.2">
      <c r="A56" s="7">
        <f t="shared" si="4"/>
        <v>8.5519763376582861E-3</v>
      </c>
      <c r="B56" s="6">
        <f t="shared" si="0"/>
        <v>0.94807053713242095</v>
      </c>
      <c r="C56" s="6">
        <f t="shared" si="1"/>
        <v>-6.2840479113176126</v>
      </c>
      <c r="D56" s="6">
        <f t="shared" si="2"/>
        <v>15.335977374185191</v>
      </c>
    </row>
    <row r="57" spans="1:4" x14ac:dyDescent="0.2">
      <c r="A57" s="7">
        <f t="shared" si="4"/>
        <v>8.8035050534717649E-3</v>
      </c>
      <c r="B57" s="6">
        <f t="shared" si="0"/>
        <v>0.78917200261607778</v>
      </c>
      <c r="C57" s="6">
        <f t="shared" si="1"/>
        <v>-6.3436639944258637</v>
      </c>
      <c r="D57" s="6">
        <f t="shared" si="2"/>
        <v>15.554491991809787</v>
      </c>
    </row>
    <row r="58" spans="1:4" x14ac:dyDescent="0.2">
      <c r="A58" s="7">
        <f t="shared" si="4"/>
        <v>9.0550337692852437E-3</v>
      </c>
      <c r="B58" s="6">
        <f t="shared" si="0"/>
        <v>0.62929241374273415</v>
      </c>
      <c r="C58" s="6">
        <f t="shared" si="1"/>
        <v>-6.362186429569384</v>
      </c>
      <c r="D58" s="6">
        <f t="shared" si="2"/>
        <v>15.73289401582665</v>
      </c>
    </row>
    <row r="59" spans="1:4" x14ac:dyDescent="0.2">
      <c r="A59" s="7">
        <f t="shared" si="4"/>
        <v>9.3065624850987225E-3</v>
      </c>
      <c r="B59" s="6">
        <f t="shared" si="0"/>
        <v>0.46945450274661404</v>
      </c>
      <c r="C59" s="6">
        <f t="shared" si="1"/>
        <v>-6.3405202861776715</v>
      </c>
      <c r="D59" s="6">
        <f t="shared" si="2"/>
        <v>15.871065783431057</v>
      </c>
    </row>
    <row r="60" spans="1:4" x14ac:dyDescent="0.2">
      <c r="A60" s="7">
        <f t="shared" si="4"/>
        <v>9.5580912009122013E-3</v>
      </c>
      <c r="B60" s="6">
        <f t="shared" si="0"/>
        <v>0.31065533778193433</v>
      </c>
      <c r="C60" s="6">
        <f t="shared" si="1"/>
        <v>-6.2797991089664809</v>
      </c>
      <c r="D60" s="6">
        <f t="shared" si="2"/>
        <v>15.969143771184546</v>
      </c>
    </row>
    <row r="61" spans="1:4" x14ac:dyDescent="0.2">
      <c r="A61" s="7">
        <f t="shared" si="4"/>
        <v>9.8096199167256801E-3</v>
      </c>
      <c r="B61" s="6">
        <f t="shared" si="0"/>
        <v>0.15386073423303584</v>
      </c>
      <c r="C61" s="6">
        <f t="shared" si="1"/>
        <v>-6.1813721644119752</v>
      </c>
      <c r="D61" s="6">
        <f t="shared" si="2"/>
        <v>16.02751143017894</v>
      </c>
    </row>
    <row r="62" spans="1:4" x14ac:dyDescent="0.2">
      <c r="A62" s="7">
        <f t="shared" si="4"/>
        <v>1.0061148632539159E-2</v>
      </c>
      <c r="B62" s="6">
        <f t="shared" si="0"/>
        <v>4.5371001594559166E-15</v>
      </c>
      <c r="C62" s="6">
        <f t="shared" si="1"/>
        <v>-6.0467906569433882</v>
      </c>
      <c r="D62" s="6">
        <f t="shared" si="2"/>
        <v>16.046790656943383</v>
      </c>
    </row>
    <row r="63" spans="1:4" x14ac:dyDescent="0.2">
      <c r="A63" s="7">
        <f t="shared" si="4"/>
        <v>1.0312677348352638E-2</v>
      </c>
      <c r="B63" s="6">
        <f t="shared" si="0"/>
        <v>-0.15003896072296485</v>
      </c>
      <c r="C63" s="6">
        <f t="shared" si="1"/>
        <v>-5.8777930265181109</v>
      </c>
      <c r="D63" s="6">
        <f t="shared" si="2"/>
        <v>16.027831987241075</v>
      </c>
    </row>
    <row r="64" spans="1:4" x14ac:dyDescent="0.2">
      <c r="A64" s="7">
        <f t="shared" si="4"/>
        <v>1.0564206064166116E-2</v>
      </c>
      <c r="B64" s="6">
        <f t="shared" si="0"/>
        <v>-0.29541416350682054</v>
      </c>
      <c r="C64" s="6">
        <f t="shared" si="1"/>
        <v>-5.6762894422058352</v>
      </c>
      <c r="D64" s="6">
        <f t="shared" si="2"/>
        <v>15.971703605712655</v>
      </c>
    </row>
    <row r="65" spans="1:4" x14ac:dyDescent="0.2">
      <c r="A65" s="7">
        <f t="shared" si="4"/>
        <v>1.0815734779979595E-2</v>
      </c>
      <c r="B65" s="6">
        <f t="shared" si="0"/>
        <v>-0.43533366082702329</v>
      </c>
      <c r="C65" s="6">
        <f t="shared" si="1"/>
        <v>-5.4443456085815587</v>
      </c>
      <c r="D65" s="6">
        <f t="shared" si="2"/>
        <v>15.879679269408582</v>
      </c>
    </row>
    <row r="66" spans="1:4" x14ac:dyDescent="0.2">
      <c r="A66" s="7">
        <f t="shared" si="4"/>
        <v>1.1067263495793074E-2</v>
      </c>
      <c r="B66" s="6">
        <f t="shared" si="0"/>
        <v>-0.56905924448251333</v>
      </c>
      <c r="C66" s="6">
        <f t="shared" si="1"/>
        <v>-5.1841660031172712</v>
      </c>
      <c r="D66" s="6">
        <f t="shared" si="2"/>
        <v>15.753225247599785</v>
      </c>
    </row>
    <row r="67" spans="1:4" x14ac:dyDescent="0.2">
      <c r="A67" s="7">
        <f t="shared" si="4"/>
        <v>1.1318792211606553E-2</v>
      </c>
      <c r="B67" s="6">
        <f t="shared" si="0"/>
        <v>-0.69590972047594024</v>
      </c>
      <c r="C67" s="6">
        <f t="shared" si="1"/>
        <v>-4.8980766633794719</v>
      </c>
      <c r="D67" s="6">
        <f t="shared" si="2"/>
        <v>15.593986383855412</v>
      </c>
    </row>
    <row r="68" spans="1:4" x14ac:dyDescent="0.2">
      <c r="A68" s="7">
        <f t="shared" si="4"/>
        <v>1.1570320927420032E-2</v>
      </c>
      <c r="B68" s="6">
        <f t="shared" si="0"/>
        <v>-0.81526374652495437</v>
      </c>
      <c r="C68" s="6">
        <f t="shared" si="1"/>
        <v>-4.5885076426998381</v>
      </c>
      <c r="D68" s="6">
        <f t="shared" si="2"/>
        <v>15.403771389224792</v>
      </c>
    </row>
    <row r="69" spans="1:4" x14ac:dyDescent="0.2">
      <c r="A69" s="7">
        <f t="shared" si="4"/>
        <v>1.182184964323351E-2</v>
      </c>
      <c r="B69" s="6">
        <f t="shared" si="0"/>
        <v>-0.92656222534969468</v>
      </c>
      <c r="C69" s="6">
        <f t="shared" si="1"/>
        <v>-4.2579752521090182</v>
      </c>
      <c r="D69" s="6">
        <f t="shared" si="2"/>
        <v>15.184537477458713</v>
      </c>
    </row>
    <row r="70" spans="1:4" x14ac:dyDescent="0.2">
      <c r="A70" s="7">
        <f t="shared" si="4"/>
        <v>1.2073378359046989E-2</v>
      </c>
      <c r="B70" s="6">
        <f t="shared" si="0"/>
        <v>-1.0293102498258018</v>
      </c>
      <c r="C70" s="6">
        <f t="shared" si="1"/>
        <v>-3.9090642047322461</v>
      </c>
      <c r="D70" s="6">
        <f t="shared" si="2"/>
        <v>14.938374454558048</v>
      </c>
    </row>
    <row r="71" spans="1:4" x14ac:dyDescent="0.2">
      <c r="A71" s="7">
        <f t="shared" si="4"/>
        <v>1.2324907074860468E-2</v>
      </c>
      <c r="B71" s="6">
        <f t="shared" si="0"/>
        <v>-1.1230785989877941</v>
      </c>
      <c r="C71" s="6">
        <f t="shared" si="1"/>
        <v>-3.5444097765684877</v>
      </c>
      <c r="D71" s="6">
        <f t="shared" si="2"/>
        <v>14.667488375556282</v>
      </c>
    </row>
    <row r="72" spans="1:4" x14ac:dyDescent="0.2">
      <c r="A72" s="7">
        <f t="shared" si="4"/>
        <v>1.2576435790673947E-2</v>
      </c>
      <c r="B72" s="6">
        <f t="shared" si="0"/>
        <v>-1.2075047866975539</v>
      </c>
      <c r="C72" s="6">
        <f t="shared" si="1"/>
        <v>-3.1666800946426026</v>
      </c>
      <c r="D72" s="6">
        <f t="shared" si="2"/>
        <v>14.374184881340156</v>
      </c>
    </row>
    <row r="73" spans="1:4" x14ac:dyDescent="0.2">
      <c r="A73" s="7">
        <f t="shared" si="4"/>
        <v>1.2827964506487426E-2</v>
      </c>
      <c r="B73" s="6">
        <f t="shared" si="0"/>
        <v>-1.2822936675409888</v>
      </c>
      <c r="C73" s="6">
        <f t="shared" si="1"/>
        <v>-2.7785586599678727</v>
      </c>
      <c r="D73" s="6">
        <f t="shared" si="2"/>
        <v>14.060852327508861</v>
      </c>
    </row>
    <row r="74" spans="1:4" x14ac:dyDescent="0.2">
      <c r="A74" s="7">
        <f t="shared" si="4"/>
        <v>1.3079493222300904E-2</v>
      </c>
      <c r="B74" s="6">
        <f t="shared" si="0"/>
        <v>-1.3472176071674282</v>
      </c>
      <c r="C74" s="6">
        <f t="shared" si="1"/>
        <v>-2.3827272086212457</v>
      </c>
      <c r="D74" s="6">
        <f t="shared" si="2"/>
        <v>13.729944815788674</v>
      </c>
    </row>
    <row r="75" spans="1:4" x14ac:dyDescent="0.2">
      <c r="A75" s="7">
        <f t="shared" si="4"/>
        <v>1.3331021938114383E-2</v>
      </c>
      <c r="B75" s="6">
        <f t="shared" si="0"/>
        <v>-1.402116226826978</v>
      </c>
      <c r="C75" s="6">
        <f t="shared" si="1"/>
        <v>-1.9818490095563792</v>
      </c>
      <c r="D75" s="6">
        <f t="shared" si="2"/>
        <v>13.383965236383357</v>
      </c>
    </row>
    <row r="76" spans="1:4" x14ac:dyDescent="0.2">
      <c r="A76" s="7">
        <f t="shared" si="4"/>
        <v>1.3582550653927862E-2</v>
      </c>
      <c r="B76" s="6">
        <f t="shared" si="0"/>
        <v>-1.4468957342776123</v>
      </c>
      <c r="C76" s="6">
        <f t="shared" si="1"/>
        <v>-1.5785526926027291</v>
      </c>
      <c r="D76" s="6">
        <f t="shared" si="2"/>
        <v>13.025448426880342</v>
      </c>
    </row>
    <row r="77" spans="1:4" x14ac:dyDescent="0.2">
      <c r="A77" s="7">
        <f t="shared" si="4"/>
        <v>1.3834079369741341E-2</v>
      </c>
      <c r="B77" s="6">
        <f t="shared" si="0"/>
        <v>-1.4815278555143949</v>
      </c>
      <c r="C77" s="6">
        <f t="shared" si="1"/>
        <v>-1.1754166944667155</v>
      </c>
      <c r="D77" s="6">
        <f t="shared" si="2"/>
        <v>12.656944549981111</v>
      </c>
    </row>
    <row r="78" spans="1:4" x14ac:dyDescent="0.2">
      <c r="A78" s="7">
        <f t="shared" si="4"/>
        <v>1.408560808555482E-2</v>
      </c>
      <c r="B78" s="6">
        <f t="shared" si="0"/>
        <v>-1.5060483839068393</v>
      </c>
      <c r="C78" s="6">
        <f t="shared" si="1"/>
        <v>-0.77495440451101238</v>
      </c>
      <c r="D78" s="6">
        <f t="shared" si="2"/>
        <v>12.281002788417851</v>
      </c>
    </row>
    <row r="79" spans="1:4" x14ac:dyDescent="0.2">
      <c r="A79" s="7">
        <f t="shared" si="4"/>
        <v>1.4337136801368298E-2</v>
      </c>
      <c r="B79" s="6">
        <f t="shared" si="0"/>
        <v>-1.5205553653075607</v>
      </c>
      <c r="C79" s="6">
        <f t="shared" si="1"/>
        <v>-0.37960008568673409</v>
      </c>
      <c r="D79" s="6">
        <f t="shared" si="2"/>
        <v>11.900155450994294</v>
      </c>
    </row>
    <row r="80" spans="1:4" x14ac:dyDescent="0.2">
      <c r="A80" s="7">
        <f t="shared" si="4"/>
        <v>1.4588665517181777E-2</v>
      </c>
      <c r="B80" s="6">
        <f t="shared" si="0"/>
        <v>-1.5252069395074295</v>
      </c>
      <c r="C80" s="6">
        <f t="shared" si="1"/>
        <v>8.3043607193467039E-3</v>
      </c>
      <c r="D80" s="6">
        <f t="shared" si="2"/>
        <v>11.516902578788082</v>
      </c>
    </row>
    <row r="81" spans="1:4" x14ac:dyDescent="0.2">
      <c r="A81" s="7">
        <f t="shared" si="4"/>
        <v>1.4840194232995256E-2</v>
      </c>
      <c r="B81" s="6">
        <f t="shared" si="0"/>
        <v>-1.520218860052263</v>
      </c>
      <c r="C81" s="6">
        <f t="shared" si="1"/>
        <v>0.38652172483492109</v>
      </c>
      <c r="D81" s="6">
        <f t="shared" si="2"/>
        <v>11.133697135217343</v>
      </c>
    </row>
    <row r="82" spans="1:4" x14ac:dyDescent="0.2">
      <c r="A82" s="7">
        <f t="shared" si="4"/>
        <v>1.5091722948808735E-2</v>
      </c>
      <c r="B82" s="6">
        <f t="shared" si="0"/>
        <v>-1.5058617158977277</v>
      </c>
      <c r="C82" s="6">
        <f t="shared" si="1"/>
        <v>0.75293085794884185</v>
      </c>
      <c r="D82" s="6">
        <f t="shared" si="2"/>
        <v>10.752930857948886</v>
      </c>
    </row>
    <row r="83" spans="1:4" x14ac:dyDescent="0.2">
      <c r="A83" s="7">
        <f t="shared" si="4"/>
        <v>1.5343251664622214E-2</v>
      </c>
      <c r="B83" s="6">
        <f t="shared" si="0"/>
        <v>-1.4824578796578454</v>
      </c>
      <c r="C83" s="6">
        <f t="shared" si="1"/>
        <v>1.1055370351020617</v>
      </c>
      <c r="D83" s="6">
        <f t="shared" si="2"/>
        <v>10.376920844555784</v>
      </c>
    </row>
    <row r="84" spans="1:4" x14ac:dyDescent="0.2">
      <c r="A84" s="7">
        <f t="shared" si="4"/>
        <v>1.5594780380435692E-2</v>
      </c>
      <c r="B84" s="6">
        <f t="shared" si="0"/>
        <v>-1.4503782082948646</v>
      </c>
      <c r="C84" s="6">
        <f t="shared" si="1"/>
        <v>1.4424812708306831</v>
      </c>
      <c r="D84" s="6">
        <f t="shared" si="2"/>
        <v>10.007896937464182</v>
      </c>
    </row>
    <row r="85" spans="1:4" x14ac:dyDescent="0.2">
      <c r="A85" s="7">
        <f t="shared" si="4"/>
        <v>1.5846309096249171E-2</v>
      </c>
      <c r="B85" s="6">
        <f t="shared" si="0"/>
        <v>-1.4100385230021089</v>
      </c>
      <c r="C85" s="6">
        <f t="shared" si="1"/>
        <v>1.762048555892207</v>
      </c>
      <c r="D85" s="6">
        <f t="shared" si="2"/>
        <v>9.6479899671099023</v>
      </c>
    </row>
    <row r="86" spans="1:4" x14ac:dyDescent="0.2">
      <c r="A86" s="7">
        <f t="shared" si="4"/>
        <v>1.609783781206265E-2</v>
      </c>
      <c r="B86" s="6">
        <f t="shared" ref="B86:B149" si="5">(($B$8/($B$6*$B$13))*EXP(-$B$11*A86)*SIN($B$13*A86))*$B$5</f>
        <v>-1.3618958957457259</v>
      </c>
      <c r="C86" s="6">
        <f t="shared" ref="C86:C149" si="6">$B$8-B86-D86</f>
        <v>2.0626749903427601</v>
      </c>
      <c r="D86" s="6">
        <f t="shared" ref="D86:D149" si="7">$B$8*(1-EXP(-$B$11*A86)*(COS($B$13*A86)+($B$11/$B$13)*SIN($B$13*A86)))</f>
        <v>9.2992209054029651</v>
      </c>
    </row>
    <row r="87" spans="1:4" x14ac:dyDescent="0.2">
      <c r="A87" s="7">
        <f t="shared" ref="A87:A118" si="8">A86+$B$17</f>
        <v>1.6349366527876129E-2</v>
      </c>
      <c r="B87" s="6">
        <f t="shared" si="5"/>
        <v>-1.3064447704563722</v>
      </c>
      <c r="C87" s="6">
        <f t="shared" si="6"/>
        <v>2.3429537958367401</v>
      </c>
      <c r="D87" s="6">
        <f t="shared" si="7"/>
        <v>8.9634909746196314</v>
      </c>
    </row>
    <row r="88" spans="1:4" x14ac:dyDescent="0.2">
      <c r="A88" s="7">
        <f t="shared" si="8"/>
        <v>1.6600895243689608E-2</v>
      </c>
      <c r="B88" s="6">
        <f t="shared" si="5"/>
        <v>-1.2442129471990926</v>
      </c>
      <c r="C88" s="6">
        <f t="shared" si="6"/>
        <v>2.6016401974444801</v>
      </c>
      <c r="D88" s="6">
        <f t="shared" si="7"/>
        <v>8.6425727497546116</v>
      </c>
    </row>
    <row r="89" spans="1:4" x14ac:dyDescent="0.2">
      <c r="A89" s="7">
        <f t="shared" si="8"/>
        <v>1.6852423959503086E-2</v>
      </c>
      <c r="B89" s="6">
        <f t="shared" si="5"/>
        <v>-1.1757574578016476</v>
      </c>
      <c r="C89" s="6">
        <f t="shared" si="6"/>
        <v>2.8376551725837533</v>
      </c>
      <c r="D89" s="6">
        <f t="shared" si="7"/>
        <v>8.3381022852178948</v>
      </c>
    </row>
    <row r="90" spans="1:4" x14ac:dyDescent="0.2">
      <c r="A90" s="7">
        <f t="shared" si="8"/>
        <v>1.7103952675316565E-2</v>
      </c>
      <c r="B90" s="6">
        <f t="shared" si="5"/>
        <v>-1.1016603613918976</v>
      </c>
      <c r="C90" s="6">
        <f t="shared" si="6"/>
        <v>3.0500880717949563</v>
      </c>
      <c r="D90" s="6">
        <f t="shared" si="7"/>
        <v>8.0515722895969404</v>
      </c>
    </row>
    <row r="91" spans="1:4" x14ac:dyDescent="0.2">
      <c r="A91" s="7">
        <f t="shared" si="8"/>
        <v>1.7355481391130044E-2</v>
      </c>
      <c r="B91" s="6">
        <f t="shared" si="5"/>
        <v>-1.0225244880882751</v>
      </c>
      <c r="C91" s="6">
        <f t="shared" si="6"/>
        <v>3.2381981230171597</v>
      </c>
      <c r="D91" s="6">
        <f t="shared" si="7"/>
        <v>7.7843263650711148</v>
      </c>
    </row>
    <row r="92" spans="1:4" x14ac:dyDescent="0.2">
      <c r="A92" s="7">
        <f t="shared" si="8"/>
        <v>1.7607010106943523E-2</v>
      </c>
      <c r="B92" s="6">
        <f t="shared" si="5"/>
        <v>-0.93896915870960829</v>
      </c>
      <c r="C92" s="6">
        <f t="shared" si="6"/>
        <v>3.4014148377044364</v>
      </c>
      <c r="D92" s="6">
        <f t="shared" si="7"/>
        <v>7.537554321005171</v>
      </c>
    </row>
    <row r="93" spans="1:4" x14ac:dyDescent="0.2">
      <c r="A93" s="7">
        <f t="shared" si="8"/>
        <v>1.7858538822757002E-2</v>
      </c>
      <c r="B93" s="6">
        <f t="shared" si="5"/>
        <v>-0.85162590782807968</v>
      </c>
      <c r="C93" s="6">
        <f t="shared" si="6"/>
        <v>3.539337343523953</v>
      </c>
      <c r="D93" s="6">
        <f t="shared" si="7"/>
        <v>7.3122885643041267</v>
      </c>
    </row>
    <row r="94" spans="1:4" x14ac:dyDescent="0.2">
      <c r="A94" s="7">
        <f t="shared" si="8"/>
        <v>1.811006753857048E-2</v>
      </c>
      <c r="B94" s="6">
        <f t="shared" si="5"/>
        <v>-0.76113423678958358</v>
      </c>
      <c r="C94" s="6">
        <f t="shared" si="6"/>
        <v>3.6517326744655261</v>
      </c>
      <c r="D94" s="6">
        <f t="shared" si="7"/>
        <v>7.1094015623240576</v>
      </c>
    </row>
    <row r="95" spans="1:4" x14ac:dyDescent="0.2">
      <c r="A95" s="7">
        <f t="shared" si="8"/>
        <v>1.8361596254383959E-2</v>
      </c>
      <c r="B95" s="6">
        <f t="shared" si="5"/>
        <v>-0.6681374224772485</v>
      </c>
      <c r="C95" s="6">
        <f t="shared" si="6"/>
        <v>3.7385330549370837</v>
      </c>
      <c r="D95" s="6">
        <f t="shared" si="7"/>
        <v>6.929604367540164</v>
      </c>
    </row>
    <row r="96" spans="1:4" x14ac:dyDescent="0.2">
      <c r="A96" s="7">
        <f t="shared" si="8"/>
        <v>1.8613124970197438E-2</v>
      </c>
      <c r="B96" s="6">
        <f t="shared" si="5"/>
        <v>-0.57327840660556673</v>
      </c>
      <c r="C96" s="6">
        <f t="shared" si="6"/>
        <v>3.7998322197939878</v>
      </c>
      <c r="D96" s="6">
        <f t="shared" si="7"/>
        <v>6.7734461868115794</v>
      </c>
    </row>
    <row r="97" spans="1:4" x14ac:dyDescent="0.2">
      <c r="A97" s="7">
        <f t="shared" si="8"/>
        <v>1.8864653686010917E-2</v>
      </c>
      <c r="B97" s="6">
        <f t="shared" si="5"/>
        <v>-0.47719578921402495</v>
      </c>
      <c r="C97" s="6">
        <f t="shared" si="6"/>
        <v>3.8358808172282446</v>
      </c>
      <c r="D97" s="6">
        <f t="shared" si="7"/>
        <v>6.6413149719857811</v>
      </c>
    </row>
    <row r="98" spans="1:4" x14ac:dyDescent="0.2">
      <c r="A98" s="7">
        <f t="shared" si="8"/>
        <v>1.9116182401824396E-2</v>
      </c>
      <c r="B98" s="6">
        <f t="shared" si="5"/>
        <v>-0.380519948790497</v>
      </c>
      <c r="C98" s="6">
        <f t="shared" si="6"/>
        <v>3.847080946005212</v>
      </c>
      <c r="D98" s="6">
        <f t="shared" si="7"/>
        <v>6.5334390027852844</v>
      </c>
    </row>
    <row r="99" spans="1:4" x14ac:dyDescent="0.2">
      <c r="A99" s="7">
        <f t="shared" si="8"/>
        <v>1.9367711117637874E-2</v>
      </c>
      <c r="B99" s="6">
        <f t="shared" si="5"/>
        <v>-0.28386931010682781</v>
      </c>
      <c r="C99" s="6">
        <f t="shared" si="6"/>
        <v>3.8339798826619162</v>
      </c>
      <c r="D99" s="6">
        <f t="shared" si="7"/>
        <v>6.4498894274449121</v>
      </c>
    </row>
    <row r="100" spans="1:4" x14ac:dyDescent="0.2">
      <c r="A100" s="7">
        <f t="shared" si="8"/>
        <v>1.9619239833451353E-2</v>
      </c>
      <c r="B100" s="6">
        <f t="shared" si="5"/>
        <v>-0.18784677940294467</v>
      </c>
      <c r="C100" s="6">
        <f t="shared" si="6"/>
        <v>3.7972630579579931</v>
      </c>
      <c r="D100" s="6">
        <f t="shared" si="7"/>
        <v>6.3905837214449512</v>
      </c>
    </row>
    <row r="101" spans="1:4" x14ac:dyDescent="0.2">
      <c r="A101" s="7">
        <f t="shared" si="8"/>
        <v>1.9870768549264832E-2</v>
      </c>
      <c r="B101" s="6">
        <f t="shared" si="5"/>
        <v>-9.303636502308249E-2</v>
      </c>
      <c r="C101" s="6">
        <f t="shared" si="6"/>
        <v>3.7377463450856263</v>
      </c>
      <c r="D101" s="6">
        <f t="shared" si="7"/>
        <v>6.3552900199374553</v>
      </c>
    </row>
    <row r="102" spans="1:4" x14ac:dyDescent="0.2">
      <c r="A102" s="7">
        <f t="shared" si="8"/>
        <v>2.0122297265078311E-2</v>
      </c>
      <c r="B102" s="6">
        <f t="shared" si="5"/>
        <v>-7.5670481131824646E-15</v>
      </c>
      <c r="C102" s="6">
        <f t="shared" si="6"/>
        <v>3.6563677248897859</v>
      </c>
      <c r="D102" s="6">
        <f t="shared" si="7"/>
        <v>6.3436322751102212</v>
      </c>
    </row>
    <row r="103" spans="1:4" x14ac:dyDescent="0.2">
      <c r="A103" s="7">
        <f t="shared" si="8"/>
        <v>2.037382598089179E-2</v>
      </c>
      <c r="B103" s="6">
        <f t="shared" si="5"/>
        <v>9.0725418587706691E-2</v>
      </c>
      <c r="C103" s="6">
        <f t="shared" si="6"/>
        <v>3.5541783956196733</v>
      </c>
      <c r="D103" s="6">
        <f t="shared" si="7"/>
        <v>6.3550961857926191</v>
      </c>
    </row>
    <row r="104" spans="1:4" x14ac:dyDescent="0.2">
      <c r="A104" s="7">
        <f t="shared" si="8"/>
        <v>2.0625354696705268E-2</v>
      </c>
      <c r="B104" s="6">
        <f t="shared" si="5"/>
        <v>0.17863076038217424</v>
      </c>
      <c r="C104" s="6">
        <f t="shared" si="6"/>
        <v>3.4323333965236671</v>
      </c>
      <c r="D104" s="6">
        <f t="shared" si="7"/>
        <v>6.3890358430941578</v>
      </c>
    </row>
    <row r="105" spans="1:4" x14ac:dyDescent="0.2">
      <c r="A105" s="7">
        <f t="shared" si="8"/>
        <v>2.0876883412518747E-2</v>
      </c>
      <c r="B105" s="6">
        <f t="shared" si="5"/>
        <v>0.26323715129417558</v>
      </c>
      <c r="C105" s="6">
        <f t="shared" si="6"/>
        <v>3.2920818159141794</v>
      </c>
      <c r="D105" s="6">
        <f t="shared" si="7"/>
        <v>6.4446810327916451</v>
      </c>
    </row>
    <row r="106" spans="1:4" x14ac:dyDescent="0.2">
      <c r="A106" s="7">
        <f t="shared" si="8"/>
        <v>2.1128412128332226E-2</v>
      </c>
      <c r="B106" s="6">
        <f t="shared" si="5"/>
        <v>0.34409821227840759</v>
      </c>
      <c r="C106" s="6">
        <f t="shared" si="6"/>
        <v>3.1347566551693147</v>
      </c>
      <c r="D106" s="6">
        <f t="shared" si="7"/>
        <v>6.5211451325522782</v>
      </c>
    </row>
    <row r="107" spans="1:4" x14ac:dyDescent="0.2">
      <c r="A107" s="7">
        <f t="shared" si="8"/>
        <v>2.1379940844145705E-2</v>
      </c>
      <c r="B107" s="6">
        <f t="shared" si="5"/>
        <v>0.4208020395849959</v>
      </c>
      <c r="C107" s="6">
        <f t="shared" si="6"/>
        <v>2.9617644205115488</v>
      </c>
      <c r="D107" s="6">
        <f t="shared" si="7"/>
        <v>6.6174335399034545</v>
      </c>
    </row>
    <row r="108" spans="1:4" x14ac:dyDescent="0.2">
      <c r="A108" s="7">
        <f t="shared" si="8"/>
        <v>2.1631469559959184E-2</v>
      </c>
      <c r="B108" s="6">
        <f t="shared" si="5"/>
        <v>0.49297292054317104</v>
      </c>
      <c r="C108" s="6">
        <f t="shared" si="6"/>
        <v>2.774574514319081</v>
      </c>
      <c r="D108" s="6">
        <f t="shared" si="7"/>
        <v>6.7324525651377485</v>
      </c>
    </row>
    <row r="109" spans="1:4" x14ac:dyDescent="0.2">
      <c r="A109" s="7">
        <f t="shared" si="8"/>
        <v>2.1882998275772662E-2</v>
      </c>
      <c r="B109" s="6">
        <f t="shared" si="5"/>
        <v>0.56027278073211628</v>
      </c>
      <c r="C109" s="6">
        <f t="shared" si="6"/>
        <v>2.5747084971949086</v>
      </c>
      <c r="D109" s="6">
        <f t="shared" si="7"/>
        <v>6.8650187220729748</v>
      </c>
    </row>
    <row r="110" spans="1:4" x14ac:dyDescent="0.2">
      <c r="A110" s="7">
        <f t="shared" si="8"/>
        <v>2.2134526991586141E-2</v>
      </c>
      <c r="B110" s="6">
        <f t="shared" si="5"/>
        <v>0.62240236017426864</v>
      </c>
      <c r="C110" s="6">
        <f t="shared" si="6"/>
        <v>2.3637292910566883</v>
      </c>
      <c r="D110" s="6">
        <f t="shared" si="7"/>
        <v>7.0138683487690434</v>
      </c>
    </row>
    <row r="111" spans="1:4" x14ac:dyDescent="0.2">
      <c r="A111" s="7">
        <f t="shared" si="8"/>
        <v>2.238605570739962E-2</v>
      </c>
      <c r="B111" s="6">
        <f t="shared" si="5"/>
        <v>0.6791021179372424</v>
      </c>
      <c r="C111" s="6">
        <f t="shared" si="6"/>
        <v>2.143230392133324</v>
      </c>
      <c r="D111" s="6">
        <f t="shared" si="7"/>
        <v>7.1776674899294335</v>
      </c>
    </row>
    <row r="112" spans="1:4" x14ac:dyDescent="0.2">
      <c r="A112" s="7">
        <f t="shared" si="8"/>
        <v>2.2637584423213099E-2</v>
      </c>
      <c r="B112" s="6">
        <f t="shared" si="5"/>
        <v>0.73015286624171571</v>
      </c>
      <c r="C112" s="6">
        <f t="shared" si="6"/>
        <v>1.9148251609813602</v>
      </c>
      <c r="D112" s="6">
        <f t="shared" si="7"/>
        <v>7.3550219727769246</v>
      </c>
    </row>
    <row r="113" spans="1:4" x14ac:dyDescent="0.2">
      <c r="A113" s="7">
        <f t="shared" si="8"/>
        <v>2.2889113139026578E-2</v>
      </c>
      <c r="B113" s="6">
        <f t="shared" si="5"/>
        <v>0.77537613683444895</v>
      </c>
      <c r="C113" s="6">
        <f t="shared" si="6"/>
        <v>1.6801362544862997</v>
      </c>
      <c r="D113" s="6">
        <f t="shared" si="7"/>
        <v>7.5444876086792512</v>
      </c>
    </row>
    <row r="114" spans="1:4" x14ac:dyDescent="0.2">
      <c r="A114" s="7">
        <f t="shared" si="8"/>
        <v>2.3140641854840056E-2</v>
      </c>
      <c r="B114" s="6">
        <f t="shared" si="5"/>
        <v>0.81463428398896043</v>
      </c>
      <c r="C114" s="6">
        <f t="shared" si="6"/>
        <v>1.4407852623135859</v>
      </c>
      <c r="D114" s="6">
        <f t="shared" si="7"/>
        <v>7.7445804536974538</v>
      </c>
    </row>
    <row r="115" spans="1:4" x14ac:dyDescent="0.2">
      <c r="A115" s="7">
        <f t="shared" si="8"/>
        <v>2.3392170570653535E-2</v>
      </c>
      <c r="B115" s="6">
        <f t="shared" si="5"/>
        <v>0.84783033003260622</v>
      </c>
      <c r="C115" s="6">
        <f t="shared" si="6"/>
        <v>1.1983826074458168</v>
      </c>
      <c r="D115" s="6">
        <f t="shared" si="7"/>
        <v>7.9537870625215774</v>
      </c>
    </row>
    <row r="116" spans="1:4" x14ac:dyDescent="0.2">
      <c r="A116" s="7">
        <f t="shared" si="8"/>
        <v>2.3643699286467014E-2</v>
      </c>
      <c r="B116" s="6">
        <f t="shared" si="5"/>
        <v>0.87490756076010867</v>
      </c>
      <c r="C116" s="6">
        <f t="shared" si="6"/>
        <v>0.95451776731231419</v>
      </c>
      <c r="D116" s="6">
        <f t="shared" si="7"/>
        <v>8.1705746719275769</v>
      </c>
    </row>
    <row r="117" spans="1:4" x14ac:dyDescent="0.2">
      <c r="A117" s="7">
        <f t="shared" si="8"/>
        <v>2.3895228002280493E-2</v>
      </c>
      <c r="B117" s="6">
        <f t="shared" si="5"/>
        <v>0.89584887947257985</v>
      </c>
      <c r="C117" s="6">
        <f t="shared" si="6"/>
        <v>0.71074986861167666</v>
      </c>
      <c r="D117" s="6">
        <f t="shared" si="7"/>
        <v>8.3934012519157442</v>
      </c>
    </row>
    <row r="118" spans="1:4" x14ac:dyDescent="0.2">
      <c r="A118" s="7">
        <f t="shared" si="8"/>
        <v>2.4146756718093972E-2</v>
      </c>
      <c r="B118" s="6">
        <f t="shared" si="5"/>
        <v>0.91067592967125466</v>
      </c>
      <c r="C118" s="6">
        <f t="shared" si="6"/>
        <v>0.46859870527544523</v>
      </c>
      <c r="D118" s="6">
        <f t="shared" si="7"/>
        <v>8.6207253650532998</v>
      </c>
    </row>
    <row r="119" spans="1:4" x14ac:dyDescent="0.2">
      <c r="A119" s="7">
        <f t="shared" ref="A119:A150" si="9">A118+$B$17</f>
        <v>2.439828543390745E-2</v>
      </c>
      <c r="B119" s="6">
        <f t="shared" si="5"/>
        <v>0.91944799763068841</v>
      </c>
      <c r="C119" s="6">
        <f t="shared" si="6"/>
        <v>0.22953622515055727</v>
      </c>
      <c r="D119" s="6">
        <f t="shared" si="7"/>
        <v>8.8510157772187537</v>
      </c>
    </row>
    <row r="120" spans="1:4" x14ac:dyDescent="0.2">
      <c r="A120" s="7">
        <f t="shared" si="9"/>
        <v>2.4649814149720929E-2</v>
      </c>
      <c r="B120" s="6">
        <f t="shared" si="5"/>
        <v>0.92226070717187358</v>
      </c>
      <c r="C120" s="6">
        <f t="shared" si="6"/>
        <v>-5.0214730809532426E-3</v>
      </c>
      <c r="D120" s="6">
        <f t="shared" si="7"/>
        <v>9.0827607659090805</v>
      </c>
    </row>
    <row r="121" spans="1:4" x14ac:dyDescent="0.2">
      <c r="A121" s="7">
        <f t="shared" si="9"/>
        <v>2.4901342865534408E-2</v>
      </c>
      <c r="B121" s="6">
        <f t="shared" si="5"/>
        <v>0.91924451994731482</v>
      </c>
      <c r="C121" s="6">
        <f t="shared" si="6"/>
        <v>-0.23372159544373083</v>
      </c>
      <c r="D121" s="6">
        <f t="shared" si="7"/>
        <v>9.3144770754964163</v>
      </c>
    </row>
    <row r="122" spans="1:4" x14ac:dyDescent="0.2">
      <c r="A122" s="7">
        <f t="shared" si="9"/>
        <v>2.5152871581347887E-2</v>
      </c>
      <c r="B122" s="6">
        <f t="shared" si="5"/>
        <v>0.91056305543391181</v>
      </c>
      <c r="C122" s="6">
        <f t="shared" si="6"/>
        <v>-0.45528152771692909</v>
      </c>
      <c r="D122" s="6">
        <f t="shared" si="7"/>
        <v>9.5447184722830176</v>
      </c>
    </row>
    <row r="123" spans="1:4" x14ac:dyDescent="0.2">
      <c r="A123" s="7">
        <f t="shared" si="9"/>
        <v>2.5404400297161366E-2</v>
      </c>
      <c r="B123" s="6">
        <f t="shared" si="5"/>
        <v>0.89641124560271646</v>
      </c>
      <c r="C123" s="6">
        <f t="shared" si="6"/>
        <v>-0.66849510147599212</v>
      </c>
      <c r="D123" s="6">
        <f t="shared" si="7"/>
        <v>9.7720838558732748</v>
      </c>
    </row>
    <row r="124" spans="1:4" x14ac:dyDescent="0.2">
      <c r="A124" s="7">
        <f t="shared" si="9"/>
        <v>2.5655929012974844E-2</v>
      </c>
      <c r="B124" s="6">
        <f t="shared" si="5"/>
        <v>0.87701333989516839</v>
      </c>
      <c r="C124" s="6">
        <f t="shared" si="6"/>
        <v>-0.87223822712746824</v>
      </c>
      <c r="D124" s="6">
        <f t="shared" si="7"/>
        <v>9.9952248872323004</v>
      </c>
    </row>
    <row r="125" spans="1:4" x14ac:dyDescent="0.2">
      <c r="A125" s="7">
        <f t="shared" si="9"/>
        <v>2.5907457728788323E-2</v>
      </c>
      <c r="B125" s="6">
        <f t="shared" si="5"/>
        <v>0.85262077668194158</v>
      </c>
      <c r="C125" s="6">
        <f t="shared" si="6"/>
        <v>-1.0654738744849475</v>
      </c>
      <c r="D125" s="6">
        <f t="shared" si="7"/>
        <v>10.212853097803006</v>
      </c>
    </row>
    <row r="126" spans="1:4" x14ac:dyDescent="0.2">
      <c r="A126" s="7">
        <f t="shared" si="9"/>
        <v>2.6158986444601802E-2</v>
      </c>
      <c r="B126" s="6">
        <f t="shared" si="5"/>
        <v>0.82350993781248116</v>
      </c>
      <c r="C126" s="6">
        <f t="shared" si="6"/>
        <v>-1.2472563859915287</v>
      </c>
      <c r="D126" s="6">
        <f t="shared" si="7"/>
        <v>10.423746448179047</v>
      </c>
    </row>
    <row r="127" spans="1:4" x14ac:dyDescent="0.2">
      <c r="A127" s="7">
        <f t="shared" si="9"/>
        <v>2.6410515160415281E-2</v>
      </c>
      <c r="B127" s="6">
        <f t="shared" si="5"/>
        <v>0.78997980318081495</v>
      </c>
      <c r="C127" s="6">
        <f t="shared" si="6"/>
        <v>-1.4167351122315548</v>
      </c>
      <c r="D127" s="6">
        <f t="shared" si="7"/>
        <v>10.62675530905074</v>
      </c>
    </row>
    <row r="128" spans="1:4" x14ac:dyDescent="0.2">
      <c r="A128" s="7">
        <f t="shared" si="9"/>
        <v>2.666204387622876E-2</v>
      </c>
      <c r="B128" s="6">
        <f t="shared" si="5"/>
        <v>0.75234952243714859</v>
      </c>
      <c r="C128" s="6">
        <f t="shared" si="6"/>
        <v>-1.5731573638635528</v>
      </c>
      <c r="D128" s="6">
        <f t="shared" si="7"/>
        <v>10.820807841426404</v>
      </c>
    </row>
    <row r="129" spans="1:4" x14ac:dyDescent="0.2">
      <c r="A129" s="7">
        <f t="shared" si="9"/>
        <v>2.6913572592042238E-2</v>
      </c>
      <c r="B129" s="6">
        <f t="shared" si="5"/>
        <v>0.71095592106665328</v>
      </c>
      <c r="C129" s="6">
        <f t="shared" si="6"/>
        <v>-1.7158706785206412</v>
      </c>
      <c r="D129" s="6">
        <f t="shared" si="7"/>
        <v>11.004914757453989</v>
      </c>
    </row>
    <row r="130" spans="1:4" x14ac:dyDescent="0.2">
      <c r="A130" s="7">
        <f t="shared" si="9"/>
        <v>2.7165101307855717E-2</v>
      </c>
      <c r="B130" s="6">
        <f t="shared" si="5"/>
        <v>0.66615095803894198</v>
      </c>
      <c r="C130" s="6">
        <f t="shared" si="6"/>
        <v>-1.8443244055384156</v>
      </c>
      <c r="D130" s="6">
        <f t="shared" si="7"/>
        <v>11.178173447499473</v>
      </c>
    </row>
    <row r="131" spans="1:4" x14ac:dyDescent="0.2">
      <c r="A131" s="7">
        <f t="shared" si="9"/>
        <v>2.7416630023669196E-2</v>
      </c>
      <c r="B131" s="6">
        <f t="shared" si="5"/>
        <v>0.61829915210680331</v>
      </c>
      <c r="C131" s="6">
        <f t="shared" si="6"/>
        <v>-1.9580706155591692</v>
      </c>
      <c r="D131" s="6">
        <f t="shared" si="7"/>
        <v>11.339771463452365</v>
      </c>
    </row>
    <row r="132" spans="1:4" x14ac:dyDescent="0.2">
      <c r="A132" s="7">
        <f t="shared" si="9"/>
        <v>2.7668158739482675E-2</v>
      </c>
      <c r="B132" s="6">
        <f t="shared" si="5"/>
        <v>0.56777499360432782</v>
      </c>
      <c r="C132" s="6">
        <f t="shared" si="6"/>
        <v>-2.0567643461019731</v>
      </c>
      <c r="D132" s="6">
        <f t="shared" si="7"/>
        <v>11.488989352497645</v>
      </c>
    </row>
    <row r="133" spans="1:4" x14ac:dyDescent="0.2">
      <c r="A133" s="7">
        <f t="shared" si="9"/>
        <v>2.7919687455296154E-2</v>
      </c>
      <c r="B133" s="6">
        <f t="shared" si="5"/>
        <v>0.5149603582665786</v>
      </c>
      <c r="C133" s="6">
        <f t="shared" si="6"/>
        <v>-2.1401631980591436</v>
      </c>
      <c r="D133" s="6">
        <f t="shared" si="7"/>
        <v>11.625202839792564</v>
      </c>
    </row>
    <row r="134" spans="1:4" x14ac:dyDescent="0.2">
      <c r="A134" s="7">
        <f t="shared" si="9"/>
        <v>2.8171216171109632E-2</v>
      </c>
      <c r="B134" s="6">
        <f t="shared" si="5"/>
        <v>0.4602419391699023</v>
      </c>
      <c r="C134" s="6">
        <f t="shared" si="6"/>
        <v>-2.2081263017612969</v>
      </c>
      <c r="D134" s="6">
        <f t="shared" si="7"/>
        <v>11.747884362591394</v>
      </c>
    </row>
    <row r="135" spans="1:4" x14ac:dyDescent="0.2">
      <c r="A135" s="7">
        <f t="shared" si="9"/>
        <v>2.8422744886923111E-2</v>
      </c>
      <c r="B135" s="6">
        <f t="shared" si="5"/>
        <v>0.40400871237896924</v>
      </c>
      <c r="C135" s="6">
        <f t="shared" si="6"/>
        <v>-2.2606126747267545</v>
      </c>
      <c r="D135" s="6">
        <f t="shared" si="7"/>
        <v>11.856603962347785</v>
      </c>
    </row>
    <row r="136" spans="1:4" x14ac:dyDescent="0.2">
      <c r="A136" s="7">
        <f t="shared" si="9"/>
        <v>2.867427360273659E-2</v>
      </c>
      <c r="B136" s="6">
        <f t="shared" si="5"/>
        <v>0.34664945128899644</v>
      </c>
      <c r="C136" s="6">
        <f t="shared" si="6"/>
        <v>-2.2976789964602702</v>
      </c>
      <c r="D136" s="6">
        <f t="shared" si="7"/>
        <v>11.951029545171274</v>
      </c>
    </row>
    <row r="137" spans="1:4" x14ac:dyDescent="0.2">
      <c r="A137" s="7">
        <f t="shared" si="9"/>
        <v>2.8925802318550069E-2</v>
      </c>
      <c r="B137" s="6">
        <f t="shared" si="5"/>
        <v>0.28855030397521175</v>
      </c>
      <c r="C137" s="6">
        <f t="shared" si="6"/>
        <v>-2.3194768286764091</v>
      </c>
      <c r="D137" s="6">
        <f t="shared" si="7"/>
        <v>12.030926524701197</v>
      </c>
    </row>
    <row r="138" spans="1:4" x14ac:dyDescent="0.2">
      <c r="A138" s="7">
        <f t="shared" si="9"/>
        <v>2.9177331034363548E-2</v>
      </c>
      <c r="B138" s="6">
        <f t="shared" si="5"/>
        <v>0.23009244711269858</v>
      </c>
      <c r="C138" s="6">
        <f t="shared" si="6"/>
        <v>-2.3262493120809236</v>
      </c>
      <c r="D138" s="6">
        <f t="shared" si="7"/>
        <v>12.096156864968226</v>
      </c>
    </row>
    <row r="139" spans="1:4" x14ac:dyDescent="0.2">
      <c r="A139" s="7">
        <f t="shared" si="9"/>
        <v>2.9428859750177026E-2</v>
      </c>
      <c r="B139" s="6">
        <f t="shared" si="5"/>
        <v>0.17164982921469643</v>
      </c>
      <c r="C139" s="6">
        <f t="shared" si="6"/>
        <v>-2.3183273733388976</v>
      </c>
      <c r="D139" s="6">
        <f t="shared" si="7"/>
        <v>12.1466775441242</v>
      </c>
    </row>
    <row r="140" spans="1:4" x14ac:dyDescent="0.2">
      <c r="A140" s="7">
        <f t="shared" si="9"/>
        <v>2.9680388465990505E-2</v>
      </c>
      <c r="B140" s="6">
        <f t="shared" si="5"/>
        <v>0.11358701506306579</v>
      </c>
      <c r="C140" s="6">
        <f t="shared" si="6"/>
        <v>-2.2961254780816684</v>
      </c>
      <c r="D140" s="6">
        <f t="shared" si="7"/>
        <v>12.182538463018602</v>
      </c>
    </row>
    <row r="141" spans="1:4" x14ac:dyDescent="0.2">
      <c r="A141" s="7">
        <f t="shared" si="9"/>
        <v>2.9931917181803984E-2</v>
      </c>
      <c r="B141" s="6">
        <f t="shared" si="5"/>
        <v>5.6257142277758243E-2</v>
      </c>
      <c r="C141" s="6">
        <f t="shared" si="6"/>
        <v>-2.2601369677488066</v>
      </c>
      <c r="D141" s="6">
        <f t="shared" si="7"/>
        <v>12.203879825471049</v>
      </c>
    </row>
    <row r="142" spans="1:4" x14ac:dyDescent="0.2">
      <c r="A142" s="7">
        <f t="shared" si="9"/>
        <v>3.0183445897617463E-2</v>
      </c>
      <c r="B142" s="6">
        <f t="shared" si="5"/>
        <v>7.8067840739283477E-15</v>
      </c>
      <c r="C142" s="6">
        <f t="shared" si="6"/>
        <v>-2.2109290197212914</v>
      </c>
      <c r="D142" s="6">
        <f t="shared" si="7"/>
        <v>12.210929019721284</v>
      </c>
    </row>
    <row r="143" spans="1:4" x14ac:dyDescent="0.2">
      <c r="A143" s="7">
        <f t="shared" si="9"/>
        <v>3.0434974613430942E-2</v>
      </c>
      <c r="B143" s="6">
        <f t="shared" si="5"/>
        <v>-5.4859761346339714E-2</v>
      </c>
      <c r="C143" s="6">
        <f t="shared" si="6"/>
        <v>-2.1491372715743111</v>
      </c>
      <c r="D143" s="6">
        <f t="shared" si="7"/>
        <v>12.20399703292065</v>
      </c>
    </row>
    <row r="144" spans="1:4" x14ac:dyDescent="0.2">
      <c r="A144" s="7">
        <f t="shared" si="9"/>
        <v>3.068650332924442E-2</v>
      </c>
      <c r="B144" s="6">
        <f t="shared" si="5"/>
        <v>-0.10801428129215869</v>
      </c>
      <c r="C144" s="6">
        <f t="shared" si="6"/>
        <v>-2.0754601513614102</v>
      </c>
      <c r="D144" s="6">
        <f t="shared" si="7"/>
        <v>12.183474432653568</v>
      </c>
    </row>
    <row r="145" spans="1:4" x14ac:dyDescent="0.2">
      <c r="A145" s="7">
        <f t="shared" si="9"/>
        <v>3.0938032045057899E-2</v>
      </c>
      <c r="B145" s="6">
        <f t="shared" si="5"/>
        <v>-0.15917399470059837</v>
      </c>
      <c r="C145" s="6">
        <f t="shared" si="6"/>
        <v>-1.9906529566363123</v>
      </c>
      <c r="D145" s="6">
        <f t="shared" si="7"/>
        <v>12.149826951336911</v>
      </c>
    </row>
    <row r="146" spans="1:4" x14ac:dyDescent="0.2">
      <c r="A146" s="7">
        <f t="shared" si="9"/>
        <v>3.1189560760871378E-2</v>
      </c>
      <c r="B146" s="6">
        <f t="shared" si="5"/>
        <v>-0.20806898550759736</v>
      </c>
      <c r="C146" s="6">
        <f t="shared" si="6"/>
        <v>-1.8955217254268959</v>
      </c>
      <c r="D146" s="6">
        <f t="shared" si="7"/>
        <v>12.103590710934494</v>
      </c>
    </row>
    <row r="147" spans="1:4" x14ac:dyDescent="0.2">
      <c r="A147" s="7">
        <f t="shared" si="9"/>
        <v>3.1441089476684857E-2</v>
      </c>
      <c r="B147" s="6">
        <f t="shared" si="5"/>
        <v>-0.25445018413852405</v>
      </c>
      <c r="C147" s="6">
        <f t="shared" si="6"/>
        <v>-1.7909169426016636</v>
      </c>
      <c r="D147" s="6">
        <f t="shared" si="7"/>
        <v>12.045367126740187</v>
      </c>
    </row>
    <row r="148" spans="1:4" x14ac:dyDescent="0.2">
      <c r="A148" s="7">
        <f t="shared" si="9"/>
        <v>3.1692618192498336E-2</v>
      </c>
      <c r="B148" s="6">
        <f t="shared" si="5"/>
        <v>-0.29809040500665152</v>
      </c>
      <c r="C148" s="6">
        <f t="shared" si="6"/>
        <v>-1.6777271250177908</v>
      </c>
      <c r="D148" s="6">
        <f t="shared" si="7"/>
        <v>11.975817530024441</v>
      </c>
    </row>
    <row r="149" spans="1:4" x14ac:dyDescent="0.2">
      <c r="A149" s="7">
        <f t="shared" si="9"/>
        <v>3.1944146908311814E-2</v>
      </c>
      <c r="B149" s="6">
        <f t="shared" si="5"/>
        <v>-0.33878522158706303</v>
      </c>
      <c r="C149" s="6">
        <f t="shared" si="6"/>
        <v>-1.5568723285190966</v>
      </c>
      <c r="D149" s="6">
        <f t="shared" si="7"/>
        <v>11.89565755010616</v>
      </c>
    </row>
    <row r="150" spans="1:4" x14ac:dyDescent="0.2">
      <c r="A150" s="7">
        <f t="shared" si="9"/>
        <v>3.2195675624125293E-2</v>
      </c>
      <c r="B150" s="6">
        <f t="shared" ref="B150:B213" si="10">(($B$8/($B$6*$B$13))*EXP(-$B$11*A150)*SIN($B$13*A150))*$B$5</f>
        <v>-0.37635367763612615</v>
      </c>
      <c r="C150" s="6">
        <f t="shared" ref="C150:C213" si="11">$B$8-B150-D150</f>
        <v>-1.4292976192705051</v>
      </c>
      <c r="D150" s="6">
        <f t="shared" ref="D150:D213" si="12">$B$8*(1-EXP(-$B$11*A150)*(COS($B$13*A150)+($B$11/$B$13)*SIN($B$13*A150)))</f>
        <v>11.805651296906632</v>
      </c>
    </row>
    <row r="151" spans="1:4" x14ac:dyDescent="0.2">
      <c r="A151" s="7">
        <f t="shared" ref="A151:A182" si="13">A150+$B$17</f>
        <v>3.2447204339938772E-2</v>
      </c>
      <c r="B151" s="6">
        <f t="shared" si="10"/>
        <v>-0.41063883418533614</v>
      </c>
      <c r="C151" s="6">
        <f t="shared" si="11"/>
        <v>-1.2959665510828948</v>
      </c>
      <c r="D151" s="6">
        <f t="shared" si="12"/>
        <v>11.706605385268231</v>
      </c>
    </row>
    <row r="152" spans="1:4" x14ac:dyDescent="0.2">
      <c r="A152" s="7">
        <f t="shared" si="13"/>
        <v>3.2698733055752251E-2</v>
      </c>
      <c r="B152" s="6">
        <f t="shared" si="10"/>
        <v>-0.44150815297308199</v>
      </c>
      <c r="C152" s="6">
        <f t="shared" si="11"/>
        <v>-1.1578546893102271</v>
      </c>
      <c r="D152" s="6">
        <f t="shared" si="12"/>
        <v>11.599362842283309</v>
      </c>
    </row>
    <row r="153" spans="1:4" x14ac:dyDescent="0.2">
      <c r="A153" s="7">
        <f t="shared" si="13"/>
        <v>3.2950261771565729E-2</v>
      </c>
      <c r="B153" s="6">
        <f t="shared" si="10"/>
        <v>-0.46885371798273895</v>
      </c>
      <c r="C153" s="6">
        <f t="shared" si="11"/>
        <v>-1.0159432206019687</v>
      </c>
      <c r="D153" s="6">
        <f t="shared" si="12"/>
        <v>11.484796938584708</v>
      </c>
    </row>
    <row r="154" spans="1:4" x14ac:dyDescent="0.2">
      <c r="A154" s="7">
        <f t="shared" si="13"/>
        <v>3.3201790487379208E-2</v>
      </c>
      <c r="B154" s="6">
        <f t="shared" si="10"/>
        <v>-0.49259229772501961</v>
      </c>
      <c r="C154" s="6">
        <f t="shared" si="11"/>
        <v>-0.87121268628195914</v>
      </c>
      <c r="D154" s="6">
        <f t="shared" si="12"/>
        <v>11.363804984006979</v>
      </c>
    </row>
    <row r="155" spans="1:4" x14ac:dyDescent="0.2">
      <c r="A155" s="7">
        <f t="shared" si="13"/>
        <v>3.3453319203192687E-2</v>
      </c>
      <c r="B155" s="6">
        <f t="shared" si="10"/>
        <v>-0.51266525183143774</v>
      </c>
      <c r="C155" s="6">
        <f t="shared" si="11"/>
        <v>-0.72463687541469035</v>
      </c>
      <c r="D155" s="6">
        <f t="shared" si="12"/>
        <v>11.237302127246128</v>
      </c>
    </row>
    <row r="156" spans="1:4" x14ac:dyDescent="0.2">
      <c r="A156" s="7">
        <f t="shared" si="13"/>
        <v>3.3704847919006166E-2</v>
      </c>
      <c r="B156" s="6">
        <f t="shared" si="10"/>
        <v>-0.52903828640933448</v>
      </c>
      <c r="C156" s="6">
        <f t="shared" si="11"/>
        <v>-0.57717691172706154</v>
      </c>
      <c r="D156" s="6">
        <f t="shared" si="12"/>
        <v>11.106215198136397</v>
      </c>
    </row>
    <row r="157" spans="1:4" x14ac:dyDescent="0.2">
      <c r="A157" s="7">
        <f t="shared" si="13"/>
        <v>3.3956376634819645E-2</v>
      </c>
      <c r="B157" s="6">
        <f t="shared" si="10"/>
        <v>-0.54170106344279889</v>
      </c>
      <c r="C157" s="6">
        <f t="shared" si="11"/>
        <v>-0.42977556649448978</v>
      </c>
      <c r="D157" s="6">
        <f t="shared" si="12"/>
        <v>10.971476629937289</v>
      </c>
    </row>
    <row r="158" spans="1:4" x14ac:dyDescent="0.2">
      <c r="A158" s="7">
        <f t="shared" si="13"/>
        <v>3.4207905350633123E-2</v>
      </c>
      <c r="B158" s="6">
        <f t="shared" si="10"/>
        <v>-0.5506666703039369</v>
      </c>
      <c r="C158" s="6">
        <f t="shared" si="11"/>
        <v>-0.2833518272915434</v>
      </c>
      <c r="D158" s="6">
        <f t="shared" si="12"/>
        <v>10.83401849759548</v>
      </c>
    </row>
    <row r="159" spans="1:4" x14ac:dyDescent="0.2">
      <c r="A159" s="7">
        <f t="shared" si="13"/>
        <v>3.4459434066446602E-2</v>
      </c>
      <c r="B159" s="6">
        <f t="shared" si="10"/>
        <v>-0.55597095616185466</v>
      </c>
      <c r="C159" s="6">
        <f t="shared" si="11"/>
        <v>-0.13879575016705203</v>
      </c>
      <c r="D159" s="6">
        <f t="shared" si="12"/>
        <v>10.694766706328906</v>
      </c>
    </row>
    <row r="160" spans="1:4" x14ac:dyDescent="0.2">
      <c r="A160" s="7">
        <f t="shared" si="13"/>
        <v>3.4710962782260081E-2</v>
      </c>
      <c r="B160" s="6">
        <f t="shared" si="10"/>
        <v>-0.5576717427392881</v>
      </c>
      <c r="C160" s="6">
        <f t="shared" si="11"/>
        <v>3.0363796509895735E-3</v>
      </c>
      <c r="D160" s="6">
        <f t="shared" si="12"/>
        <v>10.554635363088298</v>
      </c>
    </row>
    <row r="161" spans="1:4" x14ac:dyDescent="0.2">
      <c r="A161" s="7">
        <f t="shared" si="13"/>
        <v>3.496249149807356E-2</v>
      </c>
      <c r="B161" s="6">
        <f t="shared" si="10"/>
        <v>-0.55584791746638307</v>
      </c>
      <c r="C161" s="6">
        <f t="shared" si="11"/>
        <v>0.14132655596549881</v>
      </c>
      <c r="D161" s="6">
        <f t="shared" si="12"/>
        <v>10.414521361500885</v>
      </c>
    </row>
    <row r="162" spans="1:4" x14ac:dyDescent="0.2">
      <c r="A162" s="7">
        <f t="shared" si="13"/>
        <v>3.5214020213887039E-2</v>
      </c>
      <c r="B162" s="6">
        <f t="shared" si="10"/>
        <v>-0.55059841761556017</v>
      </c>
      <c r="C162" s="6">
        <f t="shared" si="11"/>
        <v>0.27529920880775904</v>
      </c>
      <c r="D162" s="6">
        <f t="shared" si="12"/>
        <v>10.275299208807802</v>
      </c>
    </row>
    <row r="163" spans="1:4" x14ac:dyDescent="0.2">
      <c r="A163" s="7">
        <f t="shared" si="13"/>
        <v>3.5465548929700517E-2</v>
      </c>
      <c r="B163" s="6">
        <f t="shared" si="10"/>
        <v>-0.54204111446894931</v>
      </c>
      <c r="C163" s="6">
        <f t="shared" si="11"/>
        <v>0.40422499338173701</v>
      </c>
      <c r="D163" s="6">
        <f t="shared" si="12"/>
        <v>10.137816121087212</v>
      </c>
    </row>
    <row r="164" spans="1:4" x14ac:dyDescent="0.2">
      <c r="A164" s="7">
        <f t="shared" si="13"/>
        <v>3.5717077645513996E-2</v>
      </c>
      <c r="B164" s="6">
        <f t="shared" si="10"/>
        <v>-0.53031160696928248</v>
      </c>
      <c r="C164" s="6">
        <f t="shared" si="11"/>
        <v>0.52742419624231651</v>
      </c>
      <c r="D164" s="6">
        <f t="shared" si="12"/>
        <v>10.002887410726967</v>
      </c>
    </row>
    <row r="165" spans="1:4" x14ac:dyDescent="0.2">
      <c r="A165" s="7">
        <f t="shared" si="13"/>
        <v>3.5968606361327475E-2</v>
      </c>
      <c r="B165" s="6">
        <f t="shared" si="10"/>
        <v>-0.51556193463561828</v>
      </c>
      <c r="C165" s="6">
        <f t="shared" si="11"/>
        <v>0.6442697469452785</v>
      </c>
      <c r="D165" s="6">
        <f t="shared" si="12"/>
        <v>9.8712921876903401</v>
      </c>
    </row>
    <row r="166" spans="1:4" x14ac:dyDescent="0.2">
      <c r="A166" s="7">
        <f t="shared" si="13"/>
        <v>3.6220135077140954E-2</v>
      </c>
      <c r="B166" s="6">
        <f t="shared" si="10"/>
        <v>-0.49795921978645469</v>
      </c>
      <c r="C166" s="6">
        <f t="shared" si="11"/>
        <v>0.7541898261626514</v>
      </c>
      <c r="D166" s="6">
        <f t="shared" si="12"/>
        <v>9.7437693936238041</v>
      </c>
    </row>
    <row r="167" spans="1:4" x14ac:dyDescent="0.2">
      <c r="A167" s="7">
        <f t="shared" si="13"/>
        <v>3.6471663792954433E-2</v>
      </c>
      <c r="B167" s="6">
        <f t="shared" si="10"/>
        <v>-0.47768424930477393</v>
      </c>
      <c r="C167" s="6">
        <f t="shared" si="11"/>
        <v>0.85667006400053403</v>
      </c>
      <c r="D167" s="6">
        <f t="shared" si="12"/>
        <v>9.6210141853042401</v>
      </c>
    </row>
    <row r="168" spans="1:4" x14ac:dyDescent="0.2">
      <c r="A168" s="7">
        <f t="shared" si="13"/>
        <v>3.6723192508767911E-2</v>
      </c>
      <c r="B168" s="6">
        <f t="shared" si="10"/>
        <v>-0.45493000630287783</v>
      </c>
      <c r="C168" s="6">
        <f t="shared" si="11"/>
        <v>0.9512553249711786</v>
      </c>
      <c r="D168" s="6">
        <f t="shared" si="12"/>
        <v>9.5036746813316988</v>
      </c>
    </row>
    <row r="169" spans="1:4" x14ac:dyDescent="0.2">
      <c r="A169" s="7">
        <f t="shared" si="13"/>
        <v>3.697472122458139E-2</v>
      </c>
      <c r="B169" s="6">
        <f t="shared" si="10"/>
        <v>-0.42990016210044285</v>
      </c>
      <c r="C169" s="6">
        <f t="shared" si="11"/>
        <v>1.0375510787401687</v>
      </c>
      <c r="D169" s="6">
        <f t="shared" si="12"/>
        <v>9.3923490833602745</v>
      </c>
    </row>
    <row r="170" spans="1:4" x14ac:dyDescent="0.2">
      <c r="A170" s="7">
        <f t="shared" si="13"/>
        <v>3.7226249940394869E-2</v>
      </c>
      <c r="B170" s="6">
        <f t="shared" si="10"/>
        <v>-0.40280753891837767</v>
      </c>
      <c r="C170" s="6">
        <f t="shared" si="11"/>
        <v>1.115224358378228</v>
      </c>
      <c r="D170" s="6">
        <f t="shared" si="12"/>
        <v>9.2875831805401496</v>
      </c>
    </row>
    <row r="171" spans="1:4" x14ac:dyDescent="0.2">
      <c r="A171" s="7">
        <f t="shared" si="13"/>
        <v>3.7477778656208348E-2</v>
      </c>
      <c r="B171" s="6">
        <f t="shared" si="10"/>
        <v>-0.37387255361554472</v>
      </c>
      <c r="C171" s="6">
        <f t="shared" si="11"/>
        <v>1.1840043103798532</v>
      </c>
      <c r="D171" s="6">
        <f t="shared" si="12"/>
        <v>9.1898682432356917</v>
      </c>
    </row>
    <row r="172" spans="1:4" x14ac:dyDescent="0.2">
      <c r="A172" s="7">
        <f t="shared" si="13"/>
        <v>3.7729307372021827E-2</v>
      </c>
      <c r="B172" s="6">
        <f t="shared" si="10"/>
        <v>-0.34332165265727532</v>
      </c>
      <c r="C172" s="6">
        <f t="shared" si="11"/>
        <v>1.2436823431543669</v>
      </c>
      <c r="D172" s="6">
        <f t="shared" si="12"/>
        <v>9.0996393095029084</v>
      </c>
    </row>
    <row r="173" spans="1:4" x14ac:dyDescent="0.2">
      <c r="A173" s="7">
        <f t="shared" si="13"/>
        <v>3.7980836087835305E-2</v>
      </c>
      <c r="B173" s="6">
        <f t="shared" si="10"/>
        <v>-0.3113857483062587</v>
      </c>
      <c r="C173" s="6">
        <f t="shared" si="11"/>
        <v>1.2941118830358054</v>
      </c>
      <c r="D173" s="6">
        <f t="shared" si="12"/>
        <v>9.0172738652704538</v>
      </c>
    </row>
    <row r="174" spans="1:4" x14ac:dyDescent="0.2">
      <c r="A174" s="7">
        <f t="shared" si="13"/>
        <v>3.8232364803648784E-2</v>
      </c>
      <c r="B174" s="6">
        <f t="shared" si="10"/>
        <v>-0.27829866577060869</v>
      </c>
      <c r="C174" s="6">
        <f t="shared" si="11"/>
        <v>1.3352077490841125</v>
      </c>
      <c r="D174" s="6">
        <f t="shared" si="12"/>
        <v>8.9430909166864954</v>
      </c>
    </row>
    <row r="175" spans="1:4" x14ac:dyDescent="0.2">
      <c r="A175" s="7">
        <f t="shared" si="13"/>
        <v>3.8483893519462263E-2</v>
      </c>
      <c r="B175" s="6">
        <f t="shared" si="10"/>
        <v>-0.24429561073368944</v>
      </c>
      <c r="C175" s="6">
        <f t="shared" si="11"/>
        <v>1.36694516005055</v>
      </c>
      <c r="D175" s="6">
        <f t="shared" si="12"/>
        <v>8.8773504506831387</v>
      </c>
    </row>
    <row r="176" spans="1:4" x14ac:dyDescent="0.2">
      <c r="A176" s="7">
        <f t="shared" si="13"/>
        <v>3.8735422235275742E-2</v>
      </c>
      <c r="B176" s="6">
        <f t="shared" si="10"/>
        <v>-0.20961166632888784</v>
      </c>
      <c r="C176" s="6">
        <f t="shared" si="11"/>
        <v>1.3893583888450998</v>
      </c>
      <c r="D176" s="6">
        <f t="shared" si="12"/>
        <v>8.8202532774837881</v>
      </c>
    </row>
    <row r="177" spans="1:4" x14ac:dyDescent="0.2">
      <c r="A177" s="7">
        <f t="shared" si="13"/>
        <v>3.8986950951089221E-2</v>
      </c>
      <c r="B177" s="6">
        <f t="shared" si="10"/>
        <v>-0.17448032821355081</v>
      </c>
      <c r="C177" s="6">
        <f t="shared" si="11"/>
        <v>1.4025390816637184</v>
      </c>
      <c r="D177" s="6">
        <f t="shared" si="12"/>
        <v>8.771941246549833</v>
      </c>
    </row>
    <row r="178" spans="1:4" x14ac:dyDescent="0.2">
      <c r="A178" s="7">
        <f t="shared" si="13"/>
        <v>3.9238479666902699E-2</v>
      </c>
      <c r="B178" s="6">
        <f t="shared" si="10"/>
        <v>-0.13913208594343221</v>
      </c>
      <c r="C178" s="6">
        <f t="shared" si="11"/>
        <v>1.406634260601189</v>
      </c>
      <c r="D178" s="6">
        <f t="shared" si="12"/>
        <v>8.7324978253422429</v>
      </c>
    </row>
    <row r="179" spans="1:4" x14ac:dyDescent="0.2">
      <c r="A179" s="7">
        <f t="shared" si="13"/>
        <v>3.9490008382716178E-2</v>
      </c>
      <c r="B179" s="6">
        <f t="shared" si="10"/>
        <v>-0.10379305835613703</v>
      </c>
      <c r="C179" s="6">
        <f t="shared" si="11"/>
        <v>1.4018440300841757</v>
      </c>
      <c r="D179" s="6">
        <f t="shared" si="12"/>
        <v>8.7019490282719616</v>
      </c>
    </row>
    <row r="180" spans="1:4" x14ac:dyDescent="0.2">
      <c r="A180" s="7">
        <f t="shared" si="13"/>
        <v>3.9741537098529657E-2</v>
      </c>
      <c r="B180" s="6">
        <f t="shared" si="10"/>
        <v>-6.8683690143345758E-2</v>
      </c>
      <c r="C180" s="6">
        <f t="shared" si="11"/>
        <v>1.388419008803389</v>
      </c>
      <c r="D180" s="6">
        <f t="shared" si="12"/>
        <v>8.6802646813399562</v>
      </c>
    </row>
    <row r="181" spans="1:4" x14ac:dyDescent="0.2">
      <c r="A181" s="7">
        <f t="shared" si="13"/>
        <v>3.9993065814343136E-2</v>
      </c>
      <c r="B181" s="6">
        <f t="shared" si="10"/>
        <v>-3.4017516231149923E-2</v>
      </c>
      <c r="C181" s="6">
        <f t="shared" si="11"/>
        <v>1.3666575099995857</v>
      </c>
      <c r="D181" s="6">
        <f t="shared" si="12"/>
        <v>8.667360006231565</v>
      </c>
    </row>
    <row r="182" spans="1:4" x14ac:dyDescent="0.2">
      <c r="A182" s="7">
        <f t="shared" si="13"/>
        <v>4.0244594530156615E-2</v>
      </c>
      <c r="B182" s="6">
        <f t="shared" si="10"/>
        <v>-6.2941318665339156E-15</v>
      </c>
      <c r="C182" s="6">
        <f t="shared" si="11"/>
        <v>1.3369024939615723</v>
      </c>
      <c r="D182" s="6">
        <f t="shared" si="12"/>
        <v>8.6630975060384348</v>
      </c>
    </row>
    <row r="183" spans="1:4" x14ac:dyDescent="0.2">
      <c r="A183" s="7">
        <f t="shared" ref="A183:A214" si="14">A182+$B$17</f>
        <v>4.0496123245970093E-2</v>
      </c>
      <c r="B183" s="6">
        <f t="shared" si="10"/>
        <v>3.3172549235116797E-2</v>
      </c>
      <c r="C183" s="6">
        <f t="shared" si="11"/>
        <v>1.2995383174244353</v>
      </c>
      <c r="D183" s="6">
        <f t="shared" si="12"/>
        <v>8.6672891333404483</v>
      </c>
    </row>
    <row r="184" spans="1:4" x14ac:dyDescent="0.2">
      <c r="A184" s="7">
        <f t="shared" si="14"/>
        <v>4.0747651961783572E-2</v>
      </c>
      <c r="B184" s="6">
        <f t="shared" si="10"/>
        <v>6.5313974693386498E-2</v>
      </c>
      <c r="C184" s="6">
        <f t="shared" si="11"/>
        <v>1.2549873052110492</v>
      </c>
      <c r="D184" s="6">
        <f t="shared" si="12"/>
        <v>8.6796987200955638</v>
      </c>
    </row>
    <row r="185" spans="1:4" x14ac:dyDescent="0.2">
      <c r="A185" s="7">
        <f t="shared" si="14"/>
        <v>4.0999180677597051E-2</v>
      </c>
      <c r="B185" s="6">
        <f t="shared" si="10"/>
        <v>9.6249182398391975E-2</v>
      </c>
      <c r="C185" s="6">
        <f t="shared" si="11"/>
        <v>1.2037061699405207</v>
      </c>
      <c r="D185" s="6">
        <f t="shared" si="12"/>
        <v>8.7000446476610875</v>
      </c>
    </row>
    <row r="186" spans="1:4" x14ac:dyDescent="0.2">
      <c r="A186" s="7">
        <f t="shared" si="14"/>
        <v>4.125070939341053E-2</v>
      </c>
      <c r="B186" s="6">
        <f t="shared" si="10"/>
        <v>0.12581495975670079</v>
      </c>
      <c r="C186" s="6">
        <f t="shared" si="11"/>
        <v>1.1461823059344578</v>
      </c>
      <c r="D186" s="6">
        <f t="shared" si="12"/>
        <v>8.7280027343088413</v>
      </c>
    </row>
    <row r="187" spans="1:4" x14ac:dyDescent="0.2">
      <c r="A187" s="7">
        <f t="shared" si="14"/>
        <v>4.1502238109224009E-2</v>
      </c>
      <c r="B187" s="6">
        <f t="shared" si="10"/>
        <v>0.15386069961063381</v>
      </c>
      <c r="C187" s="6">
        <f t="shared" si="11"/>
        <v>1.0829299835885386</v>
      </c>
      <c r="D187" s="6">
        <f t="shared" si="12"/>
        <v>8.7632093168008272</v>
      </c>
    </row>
    <row r="188" spans="1:4" x14ac:dyDescent="0.2">
      <c r="A188" s="7">
        <f t="shared" si="14"/>
        <v>4.1753766825037487E-2</v>
      </c>
      <c r="B188" s="6">
        <f t="shared" si="10"/>
        <v>0.18024902759186778</v>
      </c>
      <c r="C188" s="6">
        <f t="shared" si="11"/>
        <v>1.0144864704458083</v>
      </c>
      <c r="D188" s="6">
        <f t="shared" si="12"/>
        <v>8.8052645019623235</v>
      </c>
    </row>
    <row r="189" spans="1:4" x14ac:dyDescent="0.2">
      <c r="A189" s="7">
        <f t="shared" si="14"/>
        <v>4.2005295540850966E-2</v>
      </c>
      <c r="B189" s="6">
        <f t="shared" si="10"/>
        <v>0.204856331260313</v>
      </c>
      <c r="C189" s="6">
        <f t="shared" si="11"/>
        <v>0.94140810501430217</v>
      </c>
      <c r="D189" s="6">
        <f t="shared" si="12"/>
        <v>8.8537355637253849</v>
      </c>
    </row>
    <row r="190" spans="1:4" x14ac:dyDescent="0.2">
      <c r="A190" s="7">
        <f t="shared" si="14"/>
        <v>4.2256824256664445E-2</v>
      </c>
      <c r="B190" s="6">
        <f t="shared" si="10"/>
        <v>0.22757319016363947</v>
      </c>
      <c r="C190" s="6">
        <f t="shared" si="11"/>
        <v>0.86426634901963695</v>
      </c>
      <c r="D190" s="6">
        <f t="shared" si="12"/>
        <v>8.908160460816724</v>
      </c>
    </row>
    <row r="191" spans="1:4" x14ac:dyDescent="0.2">
      <c r="A191" s="7">
        <f t="shared" si="14"/>
        <v>4.2508352972477924E-2</v>
      </c>
      <c r="B191" s="6">
        <f t="shared" si="10"/>
        <v>0.24830470659300052</v>
      </c>
      <c r="C191" s="6">
        <f t="shared" si="11"/>
        <v>0.78364384327992376</v>
      </c>
      <c r="D191" s="6">
        <f t="shared" si="12"/>
        <v>8.9680514501270761</v>
      </c>
    </row>
    <row r="192" spans="1:4" x14ac:dyDescent="0.2">
      <c r="A192" s="7">
        <f t="shared" si="14"/>
        <v>4.2759881688291403E-2</v>
      </c>
      <c r="B192" s="6">
        <f t="shared" si="10"/>
        <v>0.26697073743619509</v>
      </c>
      <c r="C192" s="6">
        <f t="shared" si="11"/>
        <v>0.70013049174192332</v>
      </c>
      <c r="D192" s="6">
        <f t="shared" si="12"/>
        <v>9.0328987708218822</v>
      </c>
    </row>
    <row r="193" spans="1:4" x14ac:dyDescent="0.2">
      <c r="A193" s="7">
        <f t="shared" si="14"/>
        <v>4.3011410404104881E-2</v>
      </c>
      <c r="B193" s="6">
        <f t="shared" si="10"/>
        <v>0.28350602813711834</v>
      </c>
      <c r="C193" s="6">
        <f t="shared" si="11"/>
        <v>0.6143195974321003</v>
      </c>
      <c r="D193" s="6">
        <f t="shared" si="12"/>
        <v>9.1021743744307813</v>
      </c>
    </row>
    <row r="194" spans="1:4" x14ac:dyDescent="0.2">
      <c r="A194" s="7">
        <f t="shared" si="14"/>
        <v>4.326293911991836E-2</v>
      </c>
      <c r="B194" s="6">
        <f t="shared" si="10"/>
        <v>0.29786025035659147</v>
      </c>
      <c r="C194" s="6">
        <f t="shared" si="11"/>
        <v>0.52680407316203315</v>
      </c>
      <c r="D194" s="6">
        <f t="shared" si="12"/>
        <v>9.1753356764813745</v>
      </c>
    </row>
    <row r="195" spans="1:4" x14ac:dyDescent="0.2">
      <c r="A195" s="7">
        <f t="shared" si="14"/>
        <v>4.3514467835731839E-2</v>
      </c>
      <c r="B195" s="6">
        <f t="shared" si="10"/>
        <v>0.30999794549138587</v>
      </c>
      <c r="C195" s="6">
        <f t="shared" si="11"/>
        <v>0.43817274879342349</v>
      </c>
      <c r="D195" s="6">
        <f t="shared" si="12"/>
        <v>9.2518293057151908</v>
      </c>
    </row>
    <row r="196" spans="1:4" x14ac:dyDescent="0.2">
      <c r="A196" s="7">
        <f t="shared" si="14"/>
        <v>4.3765996551545318E-2</v>
      </c>
      <c r="B196" s="6">
        <f t="shared" si="10"/>
        <v>0.31989837674252941</v>
      </c>
      <c r="C196" s="6">
        <f t="shared" si="11"/>
        <v>0.34900679572347038</v>
      </c>
      <c r="D196" s="6">
        <f t="shared" si="12"/>
        <v>9.3310948275340007</v>
      </c>
    </row>
    <row r="197" spans="1:4" x14ac:dyDescent="0.2">
      <c r="A197" s="7">
        <f t="shared" si="14"/>
        <v>4.4017525267358797E-2</v>
      </c>
      <c r="B197" s="6">
        <f t="shared" si="10"/>
        <v>0.32755529292822078</v>
      </c>
      <c r="C197" s="6">
        <f t="shared" si="11"/>
        <v>0.25987628800614715</v>
      </c>
      <c r="D197" s="6">
        <f t="shared" si="12"/>
        <v>9.4125684190656322</v>
      </c>
    </row>
    <row r="198" spans="1:4" x14ac:dyDescent="0.2">
      <c r="A198" s="7">
        <f t="shared" si="14"/>
        <v>4.4269053983172275E-2</v>
      </c>
      <c r="B198" s="6">
        <f t="shared" si="10"/>
        <v>0.33297660770839665</v>
      </c>
      <c r="C198" s="6">
        <f t="shared" si="11"/>
        <v>0.17133691818943753</v>
      </c>
      <c r="D198" s="6">
        <f t="shared" si="12"/>
        <v>9.4956864741021665</v>
      </c>
    </row>
    <row r="199" spans="1:4" x14ac:dyDescent="0.2">
      <c r="A199" s="7">
        <f t="shared" si="14"/>
        <v>4.4520582698985754E-2</v>
      </c>
      <c r="B199" s="6">
        <f t="shared" si="10"/>
        <v>0.33618399832513807</v>
      </c>
      <c r="C199" s="6">
        <f t="shared" si="11"/>
        <v>8.3926884533363832E-2</v>
      </c>
      <c r="D199" s="6">
        <f t="shared" si="12"/>
        <v>9.5798891171414979</v>
      </c>
    </row>
    <row r="200" spans="1:4" x14ac:dyDescent="0.2">
      <c r="A200" s="7">
        <f t="shared" si="14"/>
        <v>4.4772111414799233E-2</v>
      </c>
      <c r="B200" s="6">
        <f t="shared" si="10"/>
        <v>0.33721242836372622</v>
      </c>
      <c r="C200" s="6">
        <f t="shared" si="11"/>
        <v>-1.836035210450504E-3</v>
      </c>
      <c r="D200" s="6">
        <f t="shared" si="12"/>
        <v>9.6646236068467246</v>
      </c>
    </row>
    <row r="201" spans="1:4" x14ac:dyDescent="0.2">
      <c r="A201" s="7">
        <f t="shared" si="14"/>
        <v>4.5023640130612712E-2</v>
      </c>
      <c r="B201" s="6">
        <f t="shared" si="10"/>
        <v>0.33610959940171625</v>
      </c>
      <c r="C201" s="6">
        <f t="shared" si="11"/>
        <v>-8.5457209819011837E-2</v>
      </c>
      <c r="D201" s="6">
        <f t="shared" si="12"/>
        <v>9.7493476104172956</v>
      </c>
    </row>
    <row r="202" spans="1:4" x14ac:dyDescent="0.2">
      <c r="A202" s="7">
        <f t="shared" si="14"/>
        <v>4.5275168846426191E-2</v>
      </c>
      <c r="B202" s="6">
        <f t="shared" si="10"/>
        <v>0.33293533673655828</v>
      </c>
      <c r="C202" s="6">
        <f t="shared" si="11"/>
        <v>-0.16646766836825933</v>
      </c>
      <c r="D202" s="6">
        <f t="shared" si="12"/>
        <v>9.8335323316317016</v>
      </c>
    </row>
    <row r="203" spans="1:4" x14ac:dyDescent="0.2">
      <c r="A203" s="7">
        <f t="shared" si="14"/>
        <v>4.5526697562239669E-2</v>
      </c>
      <c r="B203" s="6">
        <f t="shared" si="10"/>
        <v>0.32776091466500246</v>
      </c>
      <c r="C203" s="6">
        <f t="shared" si="11"/>
        <v>-0.24442639132836419</v>
      </c>
      <c r="D203" s="6">
        <f t="shared" si="12"/>
        <v>9.9166654766633613</v>
      </c>
    </row>
    <row r="204" spans="1:4" x14ac:dyDescent="0.2">
      <c r="A204" s="7">
        <f t="shared" si="14"/>
        <v>4.5778226278053148E-2</v>
      </c>
      <c r="B204" s="6">
        <f t="shared" si="10"/>
        <v>0.32066832702904924</v>
      </c>
      <c r="C204" s="6">
        <f t="shared" si="11"/>
        <v>-0.31892237020838543</v>
      </c>
      <c r="D204" s="6">
        <f t="shared" si="12"/>
        <v>9.9982540431793367</v>
      </c>
    </row>
    <row r="205" spans="1:4" x14ac:dyDescent="0.2">
      <c r="A205" s="7">
        <f t="shared" si="14"/>
        <v>4.6029754993866627E-2</v>
      </c>
      <c r="B205" s="6">
        <f t="shared" si="10"/>
        <v>0.31174950894303183</v>
      </c>
      <c r="C205" s="6">
        <f t="shared" si="11"/>
        <v>-0.38957642863799613</v>
      </c>
      <c r="D205" s="6">
        <f t="shared" si="12"/>
        <v>10.077826919694964</v>
      </c>
    </row>
    <row r="206" spans="1:4" x14ac:dyDescent="0.2">
      <c r="A206" s="7">
        <f t="shared" si="14"/>
        <v>4.6281283709680106E-2</v>
      </c>
      <c r="B206" s="6">
        <f t="shared" si="10"/>
        <v>0.3011055157743559</v>
      </c>
      <c r="C206" s="6">
        <f t="shared" si="11"/>
        <v>-0.45604279944020121</v>
      </c>
      <c r="D206" s="6">
        <f t="shared" si="12"/>
        <v>10.154937283665845</v>
      </c>
    </row>
    <row r="207" spans="1:4" x14ac:dyDescent="0.2">
      <c r="A207" s="7">
        <f t="shared" si="14"/>
        <v>4.6532812425493585E-2</v>
      </c>
      <c r="B207" s="6">
        <f t="shared" si="10"/>
        <v>0.28884566556651287</v>
      </c>
      <c r="C207" s="6">
        <f t="shared" si="11"/>
        <v>-0.5180104539081487</v>
      </c>
      <c r="D207" s="6">
        <f t="shared" si="12"/>
        <v>10.229164788341636</v>
      </c>
    </row>
    <row r="208" spans="1:4" x14ac:dyDescent="0.2">
      <c r="A208" s="7">
        <f t="shared" si="14"/>
        <v>4.6784341141307063E-2</v>
      </c>
      <c r="B208" s="6">
        <f t="shared" si="10"/>
        <v>0.27508665116754438</v>
      </c>
      <c r="C208" s="6">
        <f t="shared" si="11"/>
        <v>-0.57520418114033411</v>
      </c>
      <c r="D208" s="6">
        <f t="shared" si="12"/>
        <v>10.300117529972789</v>
      </c>
    </row>
    <row r="209" spans="1:4" x14ac:dyDescent="0.2">
      <c r="A209" s="7">
        <f t="shared" si="14"/>
        <v>4.7035869857120542E-2</v>
      </c>
      <c r="B209" s="6">
        <f t="shared" si="10"/>
        <v>0.25995162836074148</v>
      </c>
      <c r="C209" s="6">
        <f t="shared" si="11"/>
        <v>-0.6273854169027544</v>
      </c>
      <c r="D209" s="6">
        <f t="shared" si="12"/>
        <v>10.367433788542012</v>
      </c>
    </row>
    <row r="210" spans="1:4" x14ac:dyDescent="0.2">
      <c r="A210" s="7">
        <f t="shared" si="14"/>
        <v>4.7287398572934021E-2</v>
      </c>
      <c r="B210" s="6">
        <f t="shared" si="10"/>
        <v>0.24356928628780117</v>
      </c>
      <c r="C210" s="6">
        <f t="shared" si="11"/>
        <v>-0.67435282306371391</v>
      </c>
      <c r="D210" s="6">
        <f t="shared" si="12"/>
        <v>10.430783536775913</v>
      </c>
    </row>
    <row r="211" spans="1:4" x14ac:dyDescent="0.2">
      <c r="A211" s="7">
        <f t="shared" si="14"/>
        <v>4.75389272887475E-2</v>
      </c>
      <c r="B211" s="6">
        <f t="shared" si="10"/>
        <v>0.22607290640900479</v>
      </c>
      <c r="C211" s="6">
        <f t="shared" si="11"/>
        <v>-0.71594262017855748</v>
      </c>
      <c r="D211" s="6">
        <f t="shared" si="12"/>
        <v>10.489869713769552</v>
      </c>
    </row>
    <row r="212" spans="1:4" x14ac:dyDescent="0.2">
      <c r="A212" s="7">
        <f t="shared" si="14"/>
        <v>4.7790456004560979E-2</v>
      </c>
      <c r="B212" s="6">
        <f t="shared" si="10"/>
        <v>0.20759941616143862</v>
      </c>
      <c r="C212" s="6">
        <f t="shared" si="11"/>
        <v>-0.7520286772791227</v>
      </c>
      <c r="D212" s="6">
        <f t="shared" si="12"/>
        <v>10.544429261117685</v>
      </c>
    </row>
    <row r="213" spans="1:4" x14ac:dyDescent="0.2">
      <c r="A213" s="7">
        <f t="shared" si="14"/>
        <v>4.8041984720374457E-2</v>
      </c>
      <c r="B213" s="6">
        <f t="shared" si="10"/>
        <v>0.1882884433563618</v>
      </c>
      <c r="C213" s="6">
        <f t="shared" si="11"/>
        <v>-0.78252236433803013</v>
      </c>
      <c r="D213" s="6">
        <f t="shared" si="12"/>
        <v>10.594233920981669</v>
      </c>
    </row>
    <row r="214" spans="1:4" x14ac:dyDescent="0.2">
      <c r="A214" s="7">
        <f t="shared" si="14"/>
        <v>4.8293513436187936E-2</v>
      </c>
      <c r="B214" s="6">
        <f t="shared" ref="B214:B222" si="15">(($B$8/($B$6*$B$13))*EXP(-$B$11*A214)*SIN($B$13*A214))*$B$5</f>
        <v>0.16828137720215353</v>
      </c>
      <c r="C214" s="6">
        <f t="shared" ref="C214:C222" si="16">$B$8-B214-D214</f>
        <v>-0.80737217422402274</v>
      </c>
      <c r="D214" s="6">
        <f t="shared" ref="D214:D222" si="17">$B$8*(1-EXP(-$B$11*A214)*(COS($B$13*A214)+($B$11/$B$13)*SIN($B$13*A214)))</f>
        <v>10.639090797021868</v>
      </c>
    </row>
    <row r="215" spans="1:4" x14ac:dyDescent="0.2">
      <c r="A215" s="7">
        <f t="shared" ref="A215:A222" si="18">A214+$B$17</f>
        <v>4.8545042152001415E-2</v>
      </c>
      <c r="B215" s="6">
        <f t="shared" si="15"/>
        <v>0.1477204416516765</v>
      </c>
      <c r="C215" s="6">
        <f t="shared" si="16"/>
        <v>-0.82656312223476469</v>
      </c>
      <c r="D215" s="6">
        <f t="shared" si="17"/>
        <v>10.678842680583088</v>
      </c>
    </row>
    <row r="216" spans="1:4" x14ac:dyDescent="0.2">
      <c r="A216" s="7">
        <f t="shared" si="18"/>
        <v>4.8796570867814894E-2</v>
      </c>
      <c r="B216" s="6">
        <f t="shared" si="15"/>
        <v>0.12674778655438626</v>
      </c>
      <c r="C216" s="6">
        <f t="shared" si="16"/>
        <v>-0.84011593248144578</v>
      </c>
      <c r="D216" s="6">
        <f t="shared" si="17"/>
        <v>10.71336814592706</v>
      </c>
    </row>
    <row r="217" spans="1:4" x14ac:dyDescent="0.2">
      <c r="A217" s="7">
        <f t="shared" si="18"/>
        <v>4.9048099583628373E-2</v>
      </c>
      <c r="B217" s="6">
        <f t="shared" si="15"/>
        <v>0.1055046018462124</v>
      </c>
      <c r="C217" s="6">
        <f t="shared" si="16"/>
        <v>-0.84808602150020995</v>
      </c>
      <c r="D217" s="6">
        <f t="shared" si="17"/>
        <v>10.742581419653998</v>
      </c>
    </row>
    <row r="218" spans="1:4" x14ac:dyDescent="0.2">
      <c r="A218" s="7">
        <f t="shared" si="18"/>
        <v>4.9299628299441851E-2</v>
      </c>
      <c r="B218" s="6">
        <f t="shared" si="15"/>
        <v>8.4130259736380428E-2</v>
      </c>
      <c r="C218" s="6">
        <f t="shared" si="16"/>
        <v>-0.8505622904739738</v>
      </c>
      <c r="D218" s="6">
        <f t="shared" si="17"/>
        <v>10.766432030737594</v>
      </c>
    </row>
    <row r="219" spans="1:4" x14ac:dyDescent="0.2">
      <c r="A219" s="7">
        <f t="shared" si="18"/>
        <v>4.955115701525533E-2</v>
      </c>
      <c r="B219" s="6">
        <f t="shared" si="15"/>
        <v>6.2761489552348337E-2</v>
      </c>
      <c r="C219" s="6">
        <f t="shared" si="16"/>
        <v>-0.84766573836048487</v>
      </c>
      <c r="D219" s="6">
        <f t="shared" si="17"/>
        <v>10.784904248808136</v>
      </c>
    </row>
    <row r="220" spans="1:4" x14ac:dyDescent="0.2">
      <c r="A220" s="7">
        <f t="shared" si="18"/>
        <v>4.9802685731068809E-2</v>
      </c>
      <c r="B220" s="6">
        <f t="shared" si="15"/>
        <v>4.1531589584318733E-2</v>
      </c>
      <c r="C220" s="6">
        <f t="shared" si="16"/>
        <v>-0.83954790903549181</v>
      </c>
      <c r="D220" s="6">
        <f t="shared" si="17"/>
        <v>10.798016319451174</v>
      </c>
    </row>
    <row r="221" spans="1:4" x14ac:dyDescent="0.2">
      <c r="A221" s="7">
        <f t="shared" si="18"/>
        <v>5.0054214446882288E-2</v>
      </c>
      <c r="B221" s="6">
        <f t="shared" si="15"/>
        <v>2.0569679931895162E-2</v>
      </c>
      <c r="C221" s="6">
        <f t="shared" si="16"/>
        <v>-0.8263891862707009</v>
      </c>
      <c r="D221" s="6">
        <f t="shared" si="17"/>
        <v>10.805819506338805</v>
      </c>
    </row>
    <row r="222" spans="1:4" x14ac:dyDescent="0.2">
      <c r="A222" s="7">
        <f t="shared" si="18"/>
        <v>5.0305743162695767E-2</v>
      </c>
      <c r="B222" s="6">
        <f t="shared" si="15"/>
        <v>5.2173007435160908E-15</v>
      </c>
      <c r="C222" s="6">
        <f t="shared" si="16"/>
        <v>-0.8083969509731137</v>
      </c>
      <c r="D222" s="6">
        <f t="shared" si="17"/>
        <v>10.808396950973108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Hua, Madison</cp:lastModifiedBy>
  <cp:revision>1</cp:revision>
  <dcterms:created xsi:type="dcterms:W3CDTF">2026-09-17T00:04:25Z</dcterms:created>
  <dcterms:modified xsi:type="dcterms:W3CDTF">2026-09-21T00:10:06Z</dcterms:modified>
  <dc:language>en-US</dc:language>
</cp:coreProperties>
</file>